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e List" sheetId="1" state="visible" r:id="rId1"/>
    <sheet xmlns:r="http://schemas.openxmlformats.org/officeDocument/2006/relationships" name="Manga List" sheetId="2" state="visible" r:id="rId2"/>
    <sheet xmlns:r="http://schemas.openxmlformats.org/officeDocument/2006/relationships" name="Overview &amp; Stats" sheetId="3" state="visible" r:id="rId3"/>
  </sheets>
  <definedNames>
    <definedName name="_xlnm._FilterDatabase" localSheetId="0" hidden="1">'Anime List'!$A$1:$L$220</definedName>
    <definedName name="_xlnm._FilterDatabase" localSheetId="1" hidden="1">'Manga List'!$A$1:$N$48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63EB"/>
      <sz val="10"/>
      <u val="single"/>
    </font>
    <font>
      <name val="Calibri"/>
      <color rgb="000F172A"/>
      <sz val="10"/>
    </font>
    <font>
      <name val="Calibri"/>
      <b val="1"/>
      <color rgb="00FFFFFF"/>
      <sz val="15"/>
    </font>
    <font>
      <name val="Calibri"/>
      <i val="1"/>
      <color rgb="00CBD5E1"/>
      <sz val="9.5"/>
    </font>
    <font>
      <name val="Calibri"/>
      <b val="1"/>
      <color rgb="001E293B"/>
      <sz val="11"/>
    </font>
    <font>
      <name val="Calibri"/>
      <b val="1"/>
      <color rgb="00475569"/>
      <sz val="9"/>
    </font>
    <font>
      <name val="Calibri"/>
      <b val="1"/>
      <color rgb="001E293B"/>
      <sz val="20"/>
    </font>
    <font>
      <name val="Calibri"/>
      <b val="1"/>
      <color rgb="004F46E5"/>
      <sz val="20"/>
    </font>
    <font>
      <name val="Calibri"/>
      <b val="1"/>
      <color rgb="000D9488"/>
      <sz val="20"/>
    </font>
    <font>
      <name val="Calibri"/>
      <b val="1"/>
      <color rgb="00D97706"/>
      <sz val="20"/>
    </font>
    <font>
      <name val="Calibri"/>
      <b val="1"/>
      <color rgb="0016A34A"/>
      <sz val="20"/>
    </font>
    <font>
      <name val="Calibri"/>
      <b val="1"/>
      <color rgb="00FFFFFF"/>
      <sz val="10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</fills>
  <borders count="20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334155"/>
      </top>
      <bottom/>
      <diagonal/>
    </border>
    <border>
      <left/>
      <right style="thin">
        <color rgb="00334155"/>
      </right>
      <top style="thin">
        <color rgb="00334155"/>
      </top>
      <bottom/>
      <diagonal/>
    </border>
    <border>
      <left/>
      <right/>
      <top style="thin">
        <color rgb="00334155"/>
      </top>
      <bottom style="medium">
        <color rgb="000F172A"/>
      </bottom>
      <diagonal/>
    </border>
    <border>
      <left/>
      <right style="thin">
        <color rgb="00334155"/>
      </right>
      <top style="thin">
        <color rgb="00334155"/>
      </top>
      <bottom style="medium">
        <color rgb="000F172A"/>
      </bottom>
      <diagonal/>
    </border>
    <border>
      <bottom style="medium">
        <color rgb="000F172A"/>
      </bottom>
    </border>
    <border>
      <left/>
      <right/>
      <top/>
      <bottom style="medium">
        <color rgb="000F172A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2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5" borderId="7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0" pivotButton="0" quotePrefix="0" xfId="0"/>
    <xf numFmtId="0" fontId="7" fillId="6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3" fontId="8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3" fontId="9" fillId="3" borderId="9" applyAlignment="1" pivotButton="0" quotePrefix="0" xfId="0">
      <alignment horizontal="center" vertical="center"/>
    </xf>
    <xf numFmtId="3" fontId="10" fillId="3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2" fontId="11" fillId="3" borderId="9" applyAlignment="1" pivotButton="0" quotePrefix="0" xfId="0">
      <alignment horizontal="center" vertical="center"/>
    </xf>
    <xf numFmtId="164" fontId="12" fillId="3" borderId="9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3" fontId="14" fillId="3" borderId="2" applyAlignment="1" pivotButton="0" quotePrefix="0" xfId="0">
      <alignment horizontal="right" vertical="center"/>
    </xf>
    <xf numFmtId="3" fontId="14" fillId="4" borderId="2" applyAlignment="1" pivotButton="0" quotePrefix="0" xfId="0">
      <alignment horizontal="right" vertical="center"/>
    </xf>
    <xf numFmtId="0" fontId="14" fillId="6" borderId="19" applyAlignment="1" pivotButton="0" quotePrefix="0" xfId="0">
      <alignment horizontal="left" vertical="center"/>
    </xf>
    <xf numFmtId="3" fontId="14" fillId="6" borderId="19" applyAlignment="1" pivotButton="0" quotePrefix="0" xfId="0">
      <alignment horizontal="right" vertical="center"/>
    </xf>
    <xf numFmtId="164" fontId="14" fillId="6" borderId="19" applyAlignment="1" pivotButton="0" quotePrefix="0" xfId="0">
      <alignment horizontal="right" vertical="center"/>
    </xf>
    <xf numFmtId="0" fontId="14" fillId="4" borderId="2" applyAlignment="1" pivotButton="0" quotePrefix="0" xfId="0">
      <alignment horizontal="center" vertical="center"/>
    </xf>
    <xf numFmtId="1" fontId="14" fillId="4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1" fontId="14" fillId="3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Calibri"/>
        <b val="1"/>
        <color rgb="00166534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1E40AF"/>
        <sz val="10"/>
      </font>
      <fill>
        <patternFill patternType="solid">
          <fgColor rgb="00DBEAFE"/>
          <bgColor rgb="00DBEAFE"/>
        </patternFill>
      </fill>
    </dxf>
    <dxf>
      <font>
        <name val="Calibri"/>
        <b val="1"/>
        <color rgb="006B21A8"/>
        <sz val="10"/>
      </font>
      <fill>
        <patternFill patternType="solid">
          <fgColor rgb="00F3E8FF"/>
          <bgColor rgb="00F3E8FF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  <bgColor rgb="00FEE2E2"/>
        </patternFill>
      </fill>
    </dxf>
    <dxf>
      <font>
        <name val="Calibri"/>
        <b val="1"/>
        <color rgb="00854D0E"/>
        <sz val="10"/>
      </font>
      <fill>
        <patternFill patternType="solid">
          <fgColor rgb="00FEF08A"/>
          <bgColor rgb="00FEF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animelist.net/anime/31646" TargetMode="External" Id="rId1"/><Relationship Type="http://schemas.openxmlformats.org/officeDocument/2006/relationships/hyperlink" Target="https://myanimelist.net/anime/35180" TargetMode="External" Id="rId2"/><Relationship Type="http://schemas.openxmlformats.org/officeDocument/2006/relationships/hyperlink" Target="https://myanimelist.net/anime/38101" TargetMode="External" Id="rId3"/><Relationship Type="http://schemas.openxmlformats.org/officeDocument/2006/relationships/hyperlink" Target="https://myanimelist.net/anime/39783" TargetMode="External" Id="rId4"/><Relationship Type="http://schemas.openxmlformats.org/officeDocument/2006/relationships/hyperlink" Target="https://myanimelist.net/anime/6547" TargetMode="External" Id="rId5"/><Relationship Type="http://schemas.openxmlformats.org/officeDocument/2006/relationships/hyperlink" Target="https://myanimelist.net/anime/9989" TargetMode="External" Id="rId6"/><Relationship Type="http://schemas.openxmlformats.org/officeDocument/2006/relationships/hyperlink" Target="https://myanimelist.net/anime/15039" TargetMode="External" Id="rId7"/><Relationship Type="http://schemas.openxmlformats.org/officeDocument/2006/relationships/hyperlink" Target="https://myanimelist.net/anime/21995" TargetMode="External" Id="rId8"/><Relationship Type="http://schemas.openxmlformats.org/officeDocument/2006/relationships/hyperlink" Target="https://myanimelist.net/anime/38753" TargetMode="External" Id="rId9"/><Relationship Type="http://schemas.openxmlformats.org/officeDocument/2006/relationships/hyperlink" Target="https://myanimelist.net/anime/6347" TargetMode="External" Id="rId10"/><Relationship Type="http://schemas.openxmlformats.org/officeDocument/2006/relationships/hyperlink" Target="https://myanimelist.net/anime/8516" TargetMode="External" Id="rId11"/><Relationship Type="http://schemas.openxmlformats.org/officeDocument/2006/relationships/hyperlink" Target="https://myanimelist.net/anime/28805" TargetMode="External" Id="rId12"/><Relationship Type="http://schemas.openxmlformats.org/officeDocument/2006/relationships/hyperlink" Target="https://myanimelist.net/anime/5081" TargetMode="External" Id="rId13"/><Relationship Type="http://schemas.openxmlformats.org/officeDocument/2006/relationships/hyperlink" Target="https://myanimelist.net/anime/39195" TargetMode="External" Id="rId14"/><Relationship Type="http://schemas.openxmlformats.org/officeDocument/2006/relationships/hyperlink" Target="https://myanimelist.net/anime/47917" TargetMode="External" Id="rId15"/><Relationship Type="http://schemas.openxmlformats.org/officeDocument/2006/relationships/hyperlink" Target="https://myanimelist.net/anime/31043" TargetMode="External" Id="rId16"/><Relationship Type="http://schemas.openxmlformats.org/officeDocument/2006/relationships/hyperlink" Target="https://myanimelist.net/anime/52578" TargetMode="External" Id="rId17"/><Relationship Type="http://schemas.openxmlformats.org/officeDocument/2006/relationships/hyperlink" Target="https://myanimelist.net/anime/55690" TargetMode="External" Id="rId18"/><Relationship Type="http://schemas.openxmlformats.org/officeDocument/2006/relationships/hyperlink" Target="https://myanimelist.net/anime/1639" TargetMode="External" Id="rId19"/><Relationship Type="http://schemas.openxmlformats.org/officeDocument/2006/relationships/hyperlink" Target="https://myanimelist.net/anime/1689" TargetMode="External" Id="rId20"/><Relationship Type="http://schemas.openxmlformats.org/officeDocument/2006/relationships/hyperlink" Target="https://myanimelist.net/anime/44511" TargetMode="External" Id="rId21"/><Relationship Type="http://schemas.openxmlformats.org/officeDocument/2006/relationships/hyperlink" Target="https://myanimelist.net/anime/14741" TargetMode="External" Id="rId22"/><Relationship Type="http://schemas.openxmlformats.org/officeDocument/2006/relationships/hyperlink" Target="https://myanimelist.net/anime/35608" TargetMode="External" Id="rId23"/><Relationship Type="http://schemas.openxmlformats.org/officeDocument/2006/relationships/hyperlink" Target="https://myanimelist.net/anime/18671" TargetMode="External" Id="rId24"/><Relationship Type="http://schemas.openxmlformats.org/officeDocument/2006/relationships/hyperlink" Target="https://myanimelist.net/anime/2167" TargetMode="External" Id="rId25"/><Relationship Type="http://schemas.openxmlformats.org/officeDocument/2006/relationships/hyperlink" Target="https://myanimelist.net/anime/4181" TargetMode="External" Id="rId26"/><Relationship Type="http://schemas.openxmlformats.org/officeDocument/2006/relationships/hyperlink" Target="https://myanimelist.net/anime/8142" TargetMode="External" Id="rId27"/><Relationship Type="http://schemas.openxmlformats.org/officeDocument/2006/relationships/hyperlink" Target="https://myanimelist.net/anime/1" TargetMode="External" Id="rId28"/><Relationship Type="http://schemas.openxmlformats.org/officeDocument/2006/relationships/hyperlink" Target="https://myanimelist.net/anime/57334" TargetMode="External" Id="rId29"/><Relationship Type="http://schemas.openxmlformats.org/officeDocument/2006/relationships/hyperlink" Target="https://myanimelist.net/anime/11843" TargetMode="External" Id="rId30"/><Relationship Type="http://schemas.openxmlformats.org/officeDocument/2006/relationships/hyperlink" Target="https://myanimelist.net/anime/1535" TargetMode="External" Id="rId31"/><Relationship Type="http://schemas.openxmlformats.org/officeDocument/2006/relationships/hyperlink" Target="https://myanimelist.net/anime/28223" TargetMode="External" Id="rId32"/><Relationship Type="http://schemas.openxmlformats.org/officeDocument/2006/relationships/hyperlink" Target="https://myanimelist.net/anime/28121" TargetMode="External" Id="rId33"/><Relationship Type="http://schemas.openxmlformats.org/officeDocument/2006/relationships/hyperlink" Target="https://myanimelist.net/anime/37347" TargetMode="External" Id="rId34"/><Relationship Type="http://schemas.openxmlformats.org/officeDocument/2006/relationships/hyperlink" Target="https://myanimelist.net/anime/356" TargetMode="External" Id="rId35"/><Relationship Type="http://schemas.openxmlformats.org/officeDocument/2006/relationships/hyperlink" Target="https://myanimelist.net/anime/25537" TargetMode="External" Id="rId36"/><Relationship Type="http://schemas.openxmlformats.org/officeDocument/2006/relationships/hyperlink" Target="https://myanimelist.net/anime/33049" TargetMode="External" Id="rId37"/><Relationship Type="http://schemas.openxmlformats.org/officeDocument/2006/relationships/hyperlink" Target="https://myanimelist.net/anime/33050" TargetMode="External" Id="rId38"/><Relationship Type="http://schemas.openxmlformats.org/officeDocument/2006/relationships/hyperlink" Target="https://myanimelist.net/anime/22297" TargetMode="External" Id="rId39"/><Relationship Type="http://schemas.openxmlformats.org/officeDocument/2006/relationships/hyperlink" Target="https://myanimelist.net/anime/28701" TargetMode="External" Id="rId40"/><Relationship Type="http://schemas.openxmlformats.org/officeDocument/2006/relationships/hyperlink" Target="https://myanimelist.net/anime/10087" TargetMode="External" Id="rId41"/><Relationship Type="http://schemas.openxmlformats.org/officeDocument/2006/relationships/hyperlink" Target="https://myanimelist.net/anime/11741" TargetMode="External" Id="rId42"/><Relationship Type="http://schemas.openxmlformats.org/officeDocument/2006/relationships/hyperlink" Target="https://myanimelist.net/anime/5114" TargetMode="External" Id="rId43"/><Relationship Type="http://schemas.openxmlformats.org/officeDocument/2006/relationships/hyperlink" Target="https://myanimelist.net/anime/41025" TargetMode="External" Id="rId44"/><Relationship Type="http://schemas.openxmlformats.org/officeDocument/2006/relationships/hyperlink" Target="https://myanimelist.net/anime/50425" TargetMode="External" Id="rId45"/><Relationship Type="http://schemas.openxmlformats.org/officeDocument/2006/relationships/hyperlink" Target="https://myanimelist.net/anime/918" TargetMode="External" Id="rId46"/><Relationship Type="http://schemas.openxmlformats.org/officeDocument/2006/relationships/hyperlink" Target="https://myanimelist.net/anime/15335" TargetMode="External" Id="rId47"/><Relationship Type="http://schemas.openxmlformats.org/officeDocument/2006/relationships/hyperlink" Target="https://myanimelist.net/anime/9969" TargetMode="External" Id="rId48"/><Relationship Type="http://schemas.openxmlformats.org/officeDocument/2006/relationships/hyperlink" Target="https://myanimelist.net/anime/15417" TargetMode="External" Id="rId49"/><Relationship Type="http://schemas.openxmlformats.org/officeDocument/2006/relationships/hyperlink" Target="https://myanimelist.net/anime/34096" TargetMode="External" Id="rId50"/><Relationship Type="http://schemas.openxmlformats.org/officeDocument/2006/relationships/hyperlink" Target="https://myanimelist.net/anime/36838" TargetMode="External" Id="rId51"/><Relationship Type="http://schemas.openxmlformats.org/officeDocument/2006/relationships/hyperlink" Target="https://myanimelist.net/anime/37491" TargetMode="External" Id="rId52"/><Relationship Type="http://schemas.openxmlformats.org/officeDocument/2006/relationships/hyperlink" Target="https://myanimelist.net/anime/44087" TargetMode="External" Id="rId53"/><Relationship Type="http://schemas.openxmlformats.org/officeDocument/2006/relationships/hyperlink" Target="https://myanimelist.net/anime/28977" TargetMode="External" Id="rId54"/><Relationship Type="http://schemas.openxmlformats.org/officeDocument/2006/relationships/hyperlink" Target="https://myanimelist.net/anime/17895" TargetMode="External" Id="rId55"/><Relationship Type="http://schemas.openxmlformats.org/officeDocument/2006/relationships/hyperlink" Target="https://myanimelist.net/anime/37105" TargetMode="External" Id="rId56"/><Relationship Type="http://schemas.openxmlformats.org/officeDocument/2006/relationships/hyperlink" Target="https://myanimelist.net/anime/245" TargetMode="External" Id="rId57"/><Relationship Type="http://schemas.openxmlformats.org/officeDocument/2006/relationships/hyperlink" Target="https://myanimelist.net/anime/15809" TargetMode="External" Id="rId58"/><Relationship Type="http://schemas.openxmlformats.org/officeDocument/2006/relationships/hyperlink" Target="https://myanimelist.net/anime/40938" TargetMode="External" Id="rId59"/><Relationship Type="http://schemas.openxmlformats.org/officeDocument/2006/relationships/hyperlink" Target="https://myanimelist.net/anime/28825" TargetMode="External" Id="rId60"/><Relationship Type="http://schemas.openxmlformats.org/officeDocument/2006/relationships/hyperlink" Target="https://myanimelist.net/anime/35376" TargetMode="External" Id="rId61"/><Relationship Type="http://schemas.openxmlformats.org/officeDocument/2006/relationships/hyperlink" Target="https://myanimelist.net/anime/36296" TargetMode="External" Id="rId62"/><Relationship Type="http://schemas.openxmlformats.org/officeDocument/2006/relationships/hyperlink" Target="https://myanimelist.net/anime/42897" TargetMode="External" Id="rId63"/><Relationship Type="http://schemas.openxmlformats.org/officeDocument/2006/relationships/hyperlink" Target="https://myanimelist.net/anime/578" TargetMode="External" Id="rId64"/><Relationship Type="http://schemas.openxmlformats.org/officeDocument/2006/relationships/hyperlink" Target="https://myanimelist.net/anime/10408" TargetMode="External" Id="rId65"/><Relationship Type="http://schemas.openxmlformats.org/officeDocument/2006/relationships/hyperlink" Target="https://myanimelist.net/anime/11061" TargetMode="External" Id="rId66"/><Relationship Type="http://schemas.openxmlformats.org/officeDocument/2006/relationships/hyperlink" Target="https://myanimelist.net/anime/12189" TargetMode="External" Id="rId67"/><Relationship Type="http://schemas.openxmlformats.org/officeDocument/2006/relationships/hyperlink" Target="https://myanimelist.net/anime/21327" TargetMode="External" Id="rId68"/><Relationship Type="http://schemas.openxmlformats.org/officeDocument/2006/relationships/hyperlink" Target="https://myanimelist.net/anime/40530" TargetMode="External" Id="rId69"/><Relationship Type="http://schemas.openxmlformats.org/officeDocument/2006/relationships/hyperlink" Target="https://myanimelist.net/anime/40787" TargetMode="External" Id="rId70"/><Relationship Type="http://schemas.openxmlformats.org/officeDocument/2006/relationships/hyperlink" Target="https://myanimelist.net/anime/40748" TargetMode="External" Id="rId71"/><Relationship Type="http://schemas.openxmlformats.org/officeDocument/2006/relationships/hyperlink" Target="https://myanimelist.net/anime/5680" TargetMode="External" Id="rId72"/><Relationship Type="http://schemas.openxmlformats.org/officeDocument/2006/relationships/hyperlink" Target="https://myanimelist.net/anime/9617" TargetMode="External" Id="rId73"/><Relationship Type="http://schemas.openxmlformats.org/officeDocument/2006/relationships/hyperlink" Target="https://myanimelist.net/anime/7791" TargetMode="External" Id="rId74"/><Relationship Type="http://schemas.openxmlformats.org/officeDocument/2006/relationships/hyperlink" Target="https://myanimelist.net/anime/52198" TargetMode="External" Id="rId75"/><Relationship Type="http://schemas.openxmlformats.org/officeDocument/2006/relationships/hyperlink" Target="https://myanimelist.net/anime/37999" TargetMode="External" Id="rId76"/><Relationship Type="http://schemas.openxmlformats.org/officeDocument/2006/relationships/hyperlink" Target="https://myanimelist.net/anime/43608" TargetMode="External" Id="rId77"/><Relationship Type="http://schemas.openxmlformats.org/officeDocument/2006/relationships/hyperlink" Target="https://myanimelist.net/anime/40591" TargetMode="External" Id="rId78"/><Relationship Type="http://schemas.openxmlformats.org/officeDocument/2006/relationships/hyperlink" Target="https://myanimelist.net/anime/34933" TargetMode="External" Id="rId79"/><Relationship Type="http://schemas.openxmlformats.org/officeDocument/2006/relationships/hyperlink" Target="https://myanimelist.net/anime/37086" TargetMode="External" Id="rId80"/><Relationship Type="http://schemas.openxmlformats.org/officeDocument/2006/relationships/hyperlink" Target="https://myanimelist.net/anime/40716" TargetMode="External" Id="rId81"/><Relationship Type="http://schemas.openxmlformats.org/officeDocument/2006/relationships/hyperlink" Target="https://myanimelist.net/anime/41930" TargetMode="External" Id="rId82"/><Relationship Type="http://schemas.openxmlformats.org/officeDocument/2006/relationships/hyperlink" Target="https://myanimelist.net/anime/40839" TargetMode="External" Id="rId83"/><Relationship Type="http://schemas.openxmlformats.org/officeDocument/2006/relationships/hyperlink" Target="https://myanimelist.net/anime/35860" TargetMode="External" Id="rId84"/><Relationship Type="http://schemas.openxmlformats.org/officeDocument/2006/relationships/hyperlink" Target="https://myanimelist.net/anime/38993" TargetMode="External" Id="rId85"/><Relationship Type="http://schemas.openxmlformats.org/officeDocument/2006/relationships/hyperlink" Target="https://myanimelist.net/anime/38000" TargetMode="External" Id="rId86"/><Relationship Type="http://schemas.openxmlformats.org/officeDocument/2006/relationships/hyperlink" Target="https://myanimelist.net/anime/40456" TargetMode="External" Id="rId87"/><Relationship Type="http://schemas.openxmlformats.org/officeDocument/2006/relationships/hyperlink" Target="https://myanimelist.net/anime/47778" TargetMode="External" Id="rId88"/><Relationship Type="http://schemas.openxmlformats.org/officeDocument/2006/relationships/hyperlink" Target="https://myanimelist.net/anime/32281" TargetMode="External" Id="rId89"/><Relationship Type="http://schemas.openxmlformats.org/officeDocument/2006/relationships/hyperlink" Target="https://myanimelist.net/anime/36098" TargetMode="External" Id="rId90"/><Relationship Type="http://schemas.openxmlformats.org/officeDocument/2006/relationships/hyperlink" Target="https://myanimelist.net/anime/9260" TargetMode="External" Id="rId91"/><Relationship Type="http://schemas.openxmlformats.org/officeDocument/2006/relationships/hyperlink" Target="https://myanimelist.net/anime/31757" TargetMode="External" Id="rId92"/><Relationship Type="http://schemas.openxmlformats.org/officeDocument/2006/relationships/hyperlink" Target="https://myanimelist.net/anime/31758" TargetMode="External" Id="rId93"/><Relationship Type="http://schemas.openxmlformats.org/officeDocument/2006/relationships/hyperlink" Target="https://myanimelist.net/anime/33206" TargetMode="External" Id="rId94"/><Relationship Type="http://schemas.openxmlformats.org/officeDocument/2006/relationships/hyperlink" Target="https://myanimelist.net/anime/39247" TargetMode="External" Id="rId95"/><Relationship Type="http://schemas.openxmlformats.org/officeDocument/2006/relationships/hyperlink" Target="https://myanimelist.net/anime/28851" TargetMode="External" Id="rId96"/><Relationship Type="http://schemas.openxmlformats.org/officeDocument/2006/relationships/hyperlink" Target="https://myanimelist.net/anime/11887" TargetMode="External" Id="rId97"/><Relationship Type="http://schemas.openxmlformats.org/officeDocument/2006/relationships/hyperlink" Target="https://myanimelist.net/anime/16001" TargetMode="External" Id="rId98"/><Relationship Type="http://schemas.openxmlformats.org/officeDocument/2006/relationships/hyperlink" Target="https://myanimelist.net/anime/28725" TargetMode="External" Id="rId99"/><Relationship Type="http://schemas.openxmlformats.org/officeDocument/2006/relationships/hyperlink" Target="https://myanimelist.net/anime/48926" TargetMode="External" Id="rId100"/><Relationship Type="http://schemas.openxmlformats.org/officeDocument/2006/relationships/hyperlink" Target="https://myanimelist.net/anime/50631" TargetMode="External" Id="rId101"/><Relationship Type="http://schemas.openxmlformats.org/officeDocument/2006/relationships/hyperlink" Target="https://myanimelist.net/anime/30831" TargetMode="External" Id="rId102"/><Relationship Type="http://schemas.openxmlformats.org/officeDocument/2006/relationships/hyperlink" Target="https://myanimelist.net/anime/32937" TargetMode="External" Id="rId103"/><Relationship Type="http://schemas.openxmlformats.org/officeDocument/2006/relationships/hyperlink" Target="https://myanimelist.net/anime/38040" TargetMode="External" Id="rId104"/><Relationship Type="http://schemas.openxmlformats.org/officeDocument/2006/relationships/hyperlink" Target="https://myanimelist.net/anime/16782" TargetMode="External" Id="rId105"/><Relationship Type="http://schemas.openxmlformats.org/officeDocument/2006/relationships/hyperlink" Target="https://myanimelist.net/anime/433" TargetMode="External" Id="rId106"/><Relationship Type="http://schemas.openxmlformats.org/officeDocument/2006/relationships/hyperlink" Target="https://myanimelist.net/anime/18153" TargetMode="External" Id="rId107"/><Relationship Type="http://schemas.openxmlformats.org/officeDocument/2006/relationships/hyperlink" Target="https://myanimelist.net/anime/58125" TargetMode="External" Id="rId108"/><Relationship Type="http://schemas.openxmlformats.org/officeDocument/2006/relationships/hyperlink" Target="https://myanimelist.net/anime/34599" TargetMode="External" Id="rId109"/><Relationship Type="http://schemas.openxmlformats.org/officeDocument/2006/relationships/hyperlink" Target="https://myanimelist.net/anime/36862" TargetMode="External" Id="rId110"/><Relationship Type="http://schemas.openxmlformats.org/officeDocument/2006/relationships/hyperlink" Target="https://myanimelist.net/anime/41084" TargetMode="External" Id="rId111"/><Relationship Type="http://schemas.openxmlformats.org/officeDocument/2006/relationships/hyperlink" Target="https://myanimelist.net/anime/10620" TargetMode="External" Id="rId112"/><Relationship Type="http://schemas.openxmlformats.org/officeDocument/2006/relationships/hyperlink" Target="https://myanimelist.net/anime/36936" TargetMode="External" Id="rId113"/><Relationship Type="http://schemas.openxmlformats.org/officeDocument/2006/relationships/hyperlink" Target="https://myanimelist.net/anime/32182" TargetMode="External" Id="rId114"/><Relationship Type="http://schemas.openxmlformats.org/officeDocument/2006/relationships/hyperlink" Target="https://myanimelist.net/anime/37510" TargetMode="External" Id="rId115"/><Relationship Type="http://schemas.openxmlformats.org/officeDocument/2006/relationships/hyperlink" Target="https://myanimelist.net/anime/17074" TargetMode="External" Id="rId116"/><Relationship Type="http://schemas.openxmlformats.org/officeDocument/2006/relationships/hyperlink" Target="https://myanimelist.net/anime/19" TargetMode="External" Id="rId117"/><Relationship Type="http://schemas.openxmlformats.org/officeDocument/2006/relationships/hyperlink" Target="https://myanimelist.net/anime/457" TargetMode="External" Id="rId118"/><Relationship Type="http://schemas.openxmlformats.org/officeDocument/2006/relationships/hyperlink" Target="https://myanimelist.net/anime/21939" TargetMode="External" Id="rId119"/><Relationship Type="http://schemas.openxmlformats.org/officeDocument/2006/relationships/hyperlink" Target="https://myanimelist.net/anime/24701" TargetMode="External" Id="rId120"/><Relationship Type="http://schemas.openxmlformats.org/officeDocument/2006/relationships/hyperlink" Target="https://myanimelist.net/anime/51179" TargetMode="External" Id="rId121"/><Relationship Type="http://schemas.openxmlformats.org/officeDocument/2006/relationships/hyperlink" Target="https://myanimelist.net/anime/55888" TargetMode="External" Id="rId122"/><Relationship Type="http://schemas.openxmlformats.org/officeDocument/2006/relationships/hyperlink" Target="https://myanimelist.net/anime/39535" TargetMode="External" Id="rId123"/><Relationship Type="http://schemas.openxmlformats.org/officeDocument/2006/relationships/hyperlink" Target="https://myanimelist.net/anime/45576" TargetMode="External" Id="rId124"/><Relationship Type="http://schemas.openxmlformats.org/officeDocument/2006/relationships/hyperlink" Target="https://myanimelist.net/anime/41168" TargetMode="External" Id="rId125"/><Relationship Type="http://schemas.openxmlformats.org/officeDocument/2006/relationships/hyperlink" Target="https://myanimelist.net/anime/20" TargetMode="External" Id="rId126"/><Relationship Type="http://schemas.openxmlformats.org/officeDocument/2006/relationships/hyperlink" Target="https://myanimelist.net/anime/15689" TargetMode="External" Id="rId127"/><Relationship Type="http://schemas.openxmlformats.org/officeDocument/2006/relationships/hyperlink" Target="https://myanimelist.net/anime/1210" TargetMode="External" Id="rId128"/><Relationship Type="http://schemas.openxmlformats.org/officeDocument/2006/relationships/hyperlink" Target="https://myanimelist.net/anime/18897" TargetMode="External" Id="rId129"/><Relationship Type="http://schemas.openxmlformats.org/officeDocument/2006/relationships/hyperlink" Target="https://myanimelist.net/anime/27787" TargetMode="External" Id="rId130"/><Relationship Type="http://schemas.openxmlformats.org/officeDocument/2006/relationships/hyperlink" Target="https://myanimelist.net/anime/11597" TargetMode="External" Id="rId131"/><Relationship Type="http://schemas.openxmlformats.org/officeDocument/2006/relationships/hyperlink" Target="https://myanimelist.net/anime/19815" TargetMode="External" Id="rId132"/><Relationship Type="http://schemas.openxmlformats.org/officeDocument/2006/relationships/hyperlink" Target="https://myanimelist.net/anime/20507" TargetMode="External" Id="rId133"/><Relationship Type="http://schemas.openxmlformats.org/officeDocument/2006/relationships/hyperlink" Target="https://myanimelist.net/anime/30503" TargetMode="External" Id="rId134"/><Relationship Type="http://schemas.openxmlformats.org/officeDocument/2006/relationships/hyperlink" Target="https://myanimelist.net/anime/46102" TargetMode="External" Id="rId135"/><Relationship Type="http://schemas.openxmlformats.org/officeDocument/2006/relationships/hyperlink" Target="https://myanimelist.net/anime/30276" TargetMode="External" Id="rId136"/><Relationship Type="http://schemas.openxmlformats.org/officeDocument/2006/relationships/hyperlink" Target="https://myanimelist.net/anime/34134" TargetMode="External" Id="rId137"/><Relationship Type="http://schemas.openxmlformats.org/officeDocument/2006/relationships/hyperlink" Target="https://myanimelist.net/anime/12355" TargetMode="External" Id="rId138"/><Relationship Type="http://schemas.openxmlformats.org/officeDocument/2006/relationships/hyperlink" Target="https://myanimelist.net/anime/32729" TargetMode="External" Id="rId139"/><Relationship Type="http://schemas.openxmlformats.org/officeDocument/2006/relationships/hyperlink" Target="https://myanimelist.net/anime/52299" TargetMode="External" Id="rId140"/><Relationship Type="http://schemas.openxmlformats.org/officeDocument/2006/relationships/hyperlink" Target="https://myanimelist.net/anime/40834" TargetMode="External" Id="rId141"/><Relationship Type="http://schemas.openxmlformats.org/officeDocument/2006/relationships/hyperlink" Target="https://myanimelist.net/anime/31181" TargetMode="External" Id="rId142"/><Relationship Type="http://schemas.openxmlformats.org/officeDocument/2006/relationships/hyperlink" Target="https://myanimelist.net/anime/35247" TargetMode="External" Id="rId143"/><Relationship Type="http://schemas.openxmlformats.org/officeDocument/2006/relationships/hyperlink" Target="https://myanimelist.net/anime/437" TargetMode="External" Id="rId144"/><Relationship Type="http://schemas.openxmlformats.org/officeDocument/2006/relationships/hyperlink" Target="https://myanimelist.net/anime/27775" TargetMode="External" Id="rId145"/><Relationship Type="http://schemas.openxmlformats.org/officeDocument/2006/relationships/hyperlink" Target="https://myanimelist.net/anime/31240" TargetMode="External" Id="rId146"/><Relationship Type="http://schemas.openxmlformats.org/officeDocument/2006/relationships/hyperlink" Target="https://myanimelist.net/anime/30015" TargetMode="External" Id="rId147"/><Relationship Type="http://schemas.openxmlformats.org/officeDocument/2006/relationships/hyperlink" Target="https://myanimelist.net/anime/35466" TargetMode="External" Id="rId148"/><Relationship Type="http://schemas.openxmlformats.org/officeDocument/2006/relationships/hyperlink" Target="https://myanimelist.net/anime/23277" TargetMode="External" Id="rId149"/><Relationship Type="http://schemas.openxmlformats.org/officeDocument/2006/relationships/hyperlink" Target="https://myanimelist.net/anime/30727" TargetMode="External" Id="rId150"/><Relationship Type="http://schemas.openxmlformats.org/officeDocument/2006/relationships/hyperlink" Target="https://myanimelist.net/anime/36885" TargetMode="External" Id="rId151"/><Relationship Type="http://schemas.openxmlformats.org/officeDocument/2006/relationships/hyperlink" Target="https://myanimelist.net/anime/13759" TargetMode="External" Id="rId152"/><Relationship Type="http://schemas.openxmlformats.org/officeDocument/2006/relationships/hyperlink" Target="https://myanimelist.net/anime/35851" TargetMode="External" Id="rId153"/><Relationship Type="http://schemas.openxmlformats.org/officeDocument/2006/relationships/hyperlink" Target="https://myanimelist.net/anime/60371" TargetMode="External" Id="rId154"/><Relationship Type="http://schemas.openxmlformats.org/officeDocument/2006/relationships/hyperlink" Target="https://myanimelist.net/anime/63832" TargetMode="External" Id="rId155"/><Relationship Type="http://schemas.openxmlformats.org/officeDocument/2006/relationships/hyperlink" Target="https://myanimelist.net/anime/37450" TargetMode="External" Id="rId156"/><Relationship Type="http://schemas.openxmlformats.org/officeDocument/2006/relationships/hyperlink" Target="https://myanimelist.net/anime/38329" TargetMode="External" Id="rId157"/><Relationship Type="http://schemas.openxmlformats.org/officeDocument/2006/relationships/hyperlink" Target="https://myanimelist.net/anime/199" TargetMode="External" Id="rId158"/><Relationship Type="http://schemas.openxmlformats.org/officeDocument/2006/relationships/hyperlink" Target="https://myanimelist.net/anime/42351" TargetMode="External" Id="rId159"/><Relationship Type="http://schemas.openxmlformats.org/officeDocument/2006/relationships/hyperlink" Target="https://myanimelist.net/anime/34240" TargetMode="External" Id="rId160"/><Relationship Type="http://schemas.openxmlformats.org/officeDocument/2006/relationships/hyperlink" Target="https://myanimelist.net/anime/23273" TargetMode="External" Id="rId161"/><Relationship Type="http://schemas.openxmlformats.org/officeDocument/2006/relationships/hyperlink" Target="https://myanimelist.net/anime/16498" TargetMode="External" Id="rId162"/><Relationship Type="http://schemas.openxmlformats.org/officeDocument/2006/relationships/hyperlink" Target="https://myanimelist.net/anime/59571" TargetMode="External" Id="rId163"/><Relationship Type="http://schemas.openxmlformats.org/officeDocument/2006/relationships/hyperlink" Target="https://myanimelist.net/anime/25777" TargetMode="External" Id="rId164"/><Relationship Type="http://schemas.openxmlformats.org/officeDocument/2006/relationships/hyperlink" Target="https://myanimelist.net/anime/35760" TargetMode="External" Id="rId165"/><Relationship Type="http://schemas.openxmlformats.org/officeDocument/2006/relationships/hyperlink" Target="https://myanimelist.net/anime/38524" TargetMode="External" Id="rId166"/><Relationship Type="http://schemas.openxmlformats.org/officeDocument/2006/relationships/hyperlink" Target="https://myanimelist.net/anime/40028" TargetMode="External" Id="rId167"/><Relationship Type="http://schemas.openxmlformats.org/officeDocument/2006/relationships/hyperlink" Target="https://myanimelist.net/anime/48583" TargetMode="External" Id="rId168"/><Relationship Type="http://schemas.openxmlformats.org/officeDocument/2006/relationships/hyperlink" Target="https://myanimelist.net/anime/35838" TargetMode="External" Id="rId169"/><Relationship Type="http://schemas.openxmlformats.org/officeDocument/2006/relationships/hyperlink" Target="https://myanimelist.net/anime/48736" TargetMode="External" Id="rId170"/><Relationship Type="http://schemas.openxmlformats.org/officeDocument/2006/relationships/hyperlink" Target="https://myanimelist.net/anime/35839" TargetMode="External" Id="rId171"/><Relationship Type="http://schemas.openxmlformats.org/officeDocument/2006/relationships/hyperlink" Target="https://myanimelist.net/anime/52991" TargetMode="External" Id="rId172"/><Relationship Type="http://schemas.openxmlformats.org/officeDocument/2006/relationships/hyperlink" Target="https://myanimelist.net/anime/50265" TargetMode="External" Id="rId173"/><Relationship Type="http://schemas.openxmlformats.org/officeDocument/2006/relationships/hyperlink" Target="https://myanimelist.net/anime/50602" TargetMode="External" Id="rId174"/><Relationship Type="http://schemas.openxmlformats.org/officeDocument/2006/relationships/hyperlink" Target="https://myanimelist.net/anime/21469" TargetMode="External" Id="rId175"/><Relationship Type="http://schemas.openxmlformats.org/officeDocument/2006/relationships/hyperlink" Target="https://myanimelist.net/anime/9253" TargetMode="External" Id="rId176"/><Relationship Type="http://schemas.openxmlformats.org/officeDocument/2006/relationships/hyperlink" Target="https://myanimelist.net/anime/30484" TargetMode="External" Id="rId177"/><Relationship Type="http://schemas.openxmlformats.org/officeDocument/2006/relationships/hyperlink" Target="https://myanimelist.net/anime/11577" TargetMode="External" Id="rId178"/><Relationship Type="http://schemas.openxmlformats.org/officeDocument/2006/relationships/hyperlink" Target="https://myanimelist.net/anime/32188" TargetMode="External" Id="rId179"/><Relationship Type="http://schemas.openxmlformats.org/officeDocument/2006/relationships/hyperlink" Target="https://myanimelist.net/anime/10863" TargetMode="External" Id="rId180"/><Relationship Type="http://schemas.openxmlformats.org/officeDocument/2006/relationships/hyperlink" Target="https://myanimelist.net/anime/5681" TargetMode="External" Id="rId181"/><Relationship Type="http://schemas.openxmlformats.org/officeDocument/2006/relationships/hyperlink" Target="https://myanimelist.net/anime/62076" TargetMode="External" Id="rId182"/><Relationship Type="http://schemas.openxmlformats.org/officeDocument/2006/relationships/hyperlink" Target="https://myanimelist.net/anime/7311" TargetMode="External" Id="rId183"/><Relationship Type="http://schemas.openxmlformats.org/officeDocument/2006/relationships/hyperlink" Target="https://myanimelist.net/anime/849" TargetMode="External" Id="rId184"/><Relationship Type="http://schemas.openxmlformats.org/officeDocument/2006/relationships/hyperlink" Target="https://myanimelist.net/anime/4382" TargetMode="External" Id="rId185"/><Relationship Type="http://schemas.openxmlformats.org/officeDocument/2006/relationships/hyperlink" Target="https://myanimelist.net/anime/45055" TargetMode="External" Id="rId186"/><Relationship Type="http://schemas.openxmlformats.org/officeDocument/2006/relationships/hyperlink" Target="https://myanimelist.net/anime/60489" TargetMode="External" Id="rId187"/><Relationship Type="http://schemas.openxmlformats.org/officeDocument/2006/relationships/hyperlink" Target="https://myanimelist.net/anime/35790" TargetMode="External" Id="rId188"/><Relationship Type="http://schemas.openxmlformats.org/officeDocument/2006/relationships/hyperlink" Target="https://myanimelist.net/anime/53393" TargetMode="External" Id="rId189"/><Relationship Type="http://schemas.openxmlformats.org/officeDocument/2006/relationships/hyperlink" Target="https://myanimelist.net/anime/38826" TargetMode="External" Id="rId190"/><Relationship Type="http://schemas.openxmlformats.org/officeDocument/2006/relationships/hyperlink" Target="https://myanimelist.net/anime/37430" TargetMode="External" Id="rId191"/><Relationship Type="http://schemas.openxmlformats.org/officeDocument/2006/relationships/hyperlink" Target="https://myanimelist.net/anime/2236" TargetMode="External" Id="rId192"/><Relationship Type="http://schemas.openxmlformats.org/officeDocument/2006/relationships/hyperlink" Target="https://myanimelist.net/anime/42249" TargetMode="External" Id="rId193"/><Relationship Type="http://schemas.openxmlformats.org/officeDocument/2006/relationships/hyperlink" Target="https://myanimelist.net/anime/52305" TargetMode="External" Id="rId194"/><Relationship Type="http://schemas.openxmlformats.org/officeDocument/2006/relationships/hyperlink" Target="https://myanimelist.net/anime/4224" TargetMode="External" Id="rId195"/><Relationship Type="http://schemas.openxmlformats.org/officeDocument/2006/relationships/hyperlink" Target="https://myanimelist.net/anime/34822" TargetMode="External" Id="rId196"/><Relationship Type="http://schemas.openxmlformats.org/officeDocument/2006/relationships/hyperlink" Target="https://myanimelist.net/anime/28025" TargetMode="External" Id="rId197"/><Relationship Type="http://schemas.openxmlformats.org/officeDocument/2006/relationships/hyperlink" Target="https://myanimelist.net/anime/5365" TargetMode="External" Id="rId198"/><Relationship Type="http://schemas.openxmlformats.org/officeDocument/2006/relationships/hyperlink" Target="https://myanimelist.net/anime/37521" TargetMode="External" Id="rId199"/><Relationship Type="http://schemas.openxmlformats.org/officeDocument/2006/relationships/hyperlink" Target="https://myanimelist.net/anime/49387" TargetMode="External" Id="rId200"/><Relationship Type="http://schemas.openxmlformats.org/officeDocument/2006/relationships/hyperlink" Target="https://myanimelist.net/anime/33352" TargetMode="External" Id="rId201"/><Relationship Type="http://schemas.openxmlformats.org/officeDocument/2006/relationships/hyperlink" Target="https://myanimelist.net/anime/39741" TargetMode="External" Id="rId202"/><Relationship Type="http://schemas.openxmlformats.org/officeDocument/2006/relationships/hyperlink" Target="https://myanimelist.net/anime/37987" TargetMode="External" Id="rId203"/><Relationship Type="http://schemas.openxmlformats.org/officeDocument/2006/relationships/hyperlink" Target="https://myanimelist.net/anime/37095" TargetMode="External" Id="rId204"/><Relationship Type="http://schemas.openxmlformats.org/officeDocument/2006/relationships/hyperlink" Target="https://myanimelist.net/anime/6956" TargetMode="External" Id="rId205"/><Relationship Type="http://schemas.openxmlformats.org/officeDocument/2006/relationships/hyperlink" Target="https://myanimelist.net/anime/25879" TargetMode="External" Id="rId206"/><Relationship Type="http://schemas.openxmlformats.org/officeDocument/2006/relationships/hyperlink" Target="https://myanimelist.net/anime/31715" TargetMode="External" Id="rId207"/><Relationship Type="http://schemas.openxmlformats.org/officeDocument/2006/relationships/hyperlink" Target="https://myanimelist.net/anime/10521" TargetMode="External" Id="rId208"/><Relationship Type="http://schemas.openxmlformats.org/officeDocument/2006/relationships/hyperlink" Target="https://myanimelist.net/anime/35968" TargetMode="External" Id="rId209"/><Relationship Type="http://schemas.openxmlformats.org/officeDocument/2006/relationships/hyperlink" Target="https://myanimelist.net/anime/14813" TargetMode="External" Id="rId210"/><Relationship Type="http://schemas.openxmlformats.org/officeDocument/2006/relationships/hyperlink" Target="https://myanimelist.net/anime/39547" TargetMode="External" Id="rId211"/><Relationship Type="http://schemas.openxmlformats.org/officeDocument/2006/relationships/hyperlink" Target="https://myanimelist.net/anime/23847" TargetMode="External" Id="rId212"/><Relationship Type="http://schemas.openxmlformats.org/officeDocument/2006/relationships/hyperlink" Target="https://myanimelist.net/anime/37779" TargetMode="External" Id="rId213"/><Relationship Type="http://schemas.openxmlformats.org/officeDocument/2006/relationships/hyperlink" Target="https://myanimelist.net/anime/35507" TargetMode="External" Id="rId214"/><Relationship Type="http://schemas.openxmlformats.org/officeDocument/2006/relationships/hyperlink" Target="https://myanimelist.net/anime/34798" TargetMode="External" Id="rId215"/><Relationship Type="http://schemas.openxmlformats.org/officeDocument/2006/relationships/hyperlink" Target="https://myanimelist.net/anime/23283" TargetMode="External" Id="rId216"/><Relationship Type="http://schemas.openxmlformats.org/officeDocument/2006/relationships/hyperlink" Target="https://myanimelist.net/anime/36999" TargetMode="External" Id="rId217"/><Relationship Type="http://schemas.openxmlformats.org/officeDocument/2006/relationships/hyperlink" Target="https://myanimelist.net/anime/54112" TargetMode="External" Id="rId218"/><Relationship Type="http://schemas.openxmlformats.org/officeDocument/2006/relationships/hyperlink" Target="https://myanimelist.net/anime/52034" TargetMode="External" Id="rId219"/></Relationships>
</file>

<file path=xl/worksheets/_rels/sheet2.xml.rels><Relationships xmlns="http://schemas.openxmlformats.org/package/2006/relationships"><Relationship Type="http://schemas.openxmlformats.org/officeDocument/2006/relationships/hyperlink" Target="https://myanimelist.net/manga/103851" TargetMode="External" Id="rId1"/><Relationship Type="http://schemas.openxmlformats.org/officeDocument/2006/relationships/hyperlink" Target="https://myanimelist.net/manga/24705" TargetMode="External" Id="rId2"/><Relationship Type="http://schemas.openxmlformats.org/officeDocument/2006/relationships/hyperlink" Target="https://myanimelist.net/manga/2" TargetMode="External" Id="rId3"/><Relationship Type="http://schemas.openxmlformats.org/officeDocument/2006/relationships/hyperlink" Target="https://myanimelist.net/manga/23419" TargetMode="External" Id="rId4"/><Relationship Type="http://schemas.openxmlformats.org/officeDocument/2006/relationships/hyperlink" Target="https://myanimelist.net/manga/116778" TargetMode="External" Id="rId5"/><Relationship Type="http://schemas.openxmlformats.org/officeDocument/2006/relationships/hyperlink" Target="https://myanimelist.net/manga/104271" TargetMode="External" Id="rId6"/><Relationship Type="http://schemas.openxmlformats.org/officeDocument/2006/relationships/hyperlink" Target="https://myanimelist.net/manga/135496" TargetMode="External" Id="rId7"/><Relationship Type="http://schemas.openxmlformats.org/officeDocument/2006/relationships/hyperlink" Target="https://myanimelist.net/manga/70801" TargetMode="External" Id="rId8"/><Relationship Type="http://schemas.openxmlformats.org/officeDocument/2006/relationships/hyperlink" Target="https://myanimelist.net/manga/65981" TargetMode="External" Id="rId9"/><Relationship Type="http://schemas.openxmlformats.org/officeDocument/2006/relationships/hyperlink" Target="https://myanimelist.net/manga/936" TargetMode="External" Id="rId10"/><Relationship Type="http://schemas.openxmlformats.org/officeDocument/2006/relationships/hyperlink" Target="https://myanimelist.net/manga/42451" TargetMode="External" Id="rId11"/><Relationship Type="http://schemas.openxmlformats.org/officeDocument/2006/relationships/hyperlink" Target="https://myanimelist.net/manga/105084" TargetMode="External" Id="rId12"/><Relationship Type="http://schemas.openxmlformats.org/officeDocument/2006/relationships/hyperlink" Target="https://myanimelist.net/manga/100448" TargetMode="External" Id="rId13"/><Relationship Type="http://schemas.openxmlformats.org/officeDocument/2006/relationships/hyperlink" Target="https://myanimelist.net/manga/90125" TargetMode="External" Id="rId14"/><Relationship Type="http://schemas.openxmlformats.org/officeDocument/2006/relationships/hyperlink" Target="https://myanimelist.net/manga/123602" TargetMode="External" Id="rId15"/><Relationship Type="http://schemas.openxmlformats.org/officeDocument/2006/relationships/hyperlink" Target="https://myanimelist.net/manga/108407" TargetMode="External" Id="rId16"/><Relationship Type="http://schemas.openxmlformats.org/officeDocument/2006/relationships/hyperlink" Target="https://myanimelist.net/manga/144267" TargetMode="External" Id="rId17"/><Relationship Type="http://schemas.openxmlformats.org/officeDocument/2006/relationships/hyperlink" Target="https://myanimelist.net/manga/121213" TargetMode="External" Id="rId18"/><Relationship Type="http://schemas.openxmlformats.org/officeDocument/2006/relationships/hyperlink" Target="https://myanimelist.net/manga/7375" TargetMode="External" Id="rId19"/><Relationship Type="http://schemas.openxmlformats.org/officeDocument/2006/relationships/hyperlink" Target="https://myanimelist.net/manga/99007" TargetMode="External" Id="rId20"/><Relationship Type="http://schemas.openxmlformats.org/officeDocument/2006/relationships/hyperlink" Target="https://myanimelist.net/manga/110160" TargetMode="External" Id="rId21"/><Relationship Type="http://schemas.openxmlformats.org/officeDocument/2006/relationships/hyperlink" Target="https://myanimelist.net/manga/70259" TargetMode="External" Id="rId22"/><Relationship Type="http://schemas.openxmlformats.org/officeDocument/2006/relationships/hyperlink" Target="https://myanimelist.net/manga/11" TargetMode="External" Id="rId23"/><Relationship Type="http://schemas.openxmlformats.org/officeDocument/2006/relationships/hyperlink" Target="https://myanimelist.net/manga/31499" TargetMode="External" Id="rId24"/><Relationship Type="http://schemas.openxmlformats.org/officeDocument/2006/relationships/hyperlink" Target="https://myanimelist.net/manga/8967" TargetMode="External" Id="rId25"/><Relationship Type="http://schemas.openxmlformats.org/officeDocument/2006/relationships/hyperlink" Target="https://myanimelist.net/manga/4632" TargetMode="External" Id="rId26"/><Relationship Type="http://schemas.openxmlformats.org/officeDocument/2006/relationships/hyperlink" Target="https://myanimelist.net/manga/124036" TargetMode="External" Id="rId27"/><Relationship Type="http://schemas.openxmlformats.org/officeDocument/2006/relationships/hyperlink" Target="https://myanimelist.net/manga/145863" TargetMode="External" Id="rId28"/><Relationship Type="http://schemas.openxmlformats.org/officeDocument/2006/relationships/hyperlink" Target="https://myanimelist.net/manga/23390" TargetMode="External" Id="rId29"/><Relationship Type="http://schemas.openxmlformats.org/officeDocument/2006/relationships/hyperlink" Target="https://myanimelist.net/manga/72467" TargetMode="External" Id="rId30"/><Relationship Type="http://schemas.openxmlformats.org/officeDocument/2006/relationships/hyperlink" Target="https://myanimelist.net/manga/126699" TargetMode="External" Id="rId31"/><Relationship Type="http://schemas.openxmlformats.org/officeDocument/2006/relationships/hyperlink" Target="https://myanimelist.net/manga/118289" TargetMode="External" Id="rId32"/><Relationship Type="http://schemas.openxmlformats.org/officeDocument/2006/relationships/hyperlink" Target="https://myanimelist.net/manga/3731" TargetMode="External" Id="rId33"/><Relationship Type="http://schemas.openxmlformats.org/officeDocument/2006/relationships/hyperlink" Target="https://myanimelist.net/manga/121496" TargetMode="External" Id="rId34"/><Relationship Type="http://schemas.openxmlformats.org/officeDocument/2006/relationships/hyperlink" Target="https://myanimelist.net/manga/112268" TargetMode="External" Id="rId35"/><Relationship Type="http://schemas.openxmlformats.org/officeDocument/2006/relationships/hyperlink" Target="https://myanimelist.net/manga/126287" TargetMode="External" Id="rId36"/><Relationship Type="http://schemas.openxmlformats.org/officeDocument/2006/relationships/hyperlink" Target="https://myanimelist.net/manga/119161" TargetMode="External" Id="rId37"/><Relationship Type="http://schemas.openxmlformats.org/officeDocument/2006/relationships/hyperlink" Target="https://myanimelist.net/manga/67615" TargetMode="External" Id="rId38"/><Relationship Type="http://schemas.openxmlformats.org/officeDocument/2006/relationships/hyperlink" Target="https://myanimelist.net/manga/125036" TargetMode="External" Id="rId39"/><Relationship Type="http://schemas.openxmlformats.org/officeDocument/2006/relationships/hyperlink" Target="https://myanimelist.net/manga/62795" TargetMode="External" Id="rId40"/><Relationship Type="http://schemas.openxmlformats.org/officeDocument/2006/relationships/hyperlink" Target="https://myanimelist.net/manga/112589" TargetMode="External" Id="rId41"/><Relationship Type="http://schemas.openxmlformats.org/officeDocument/2006/relationships/hyperlink" Target="https://myanimelist.net/manga/17353" TargetMode="External" Id="rId42"/><Relationship Type="http://schemas.openxmlformats.org/officeDocument/2006/relationships/hyperlink" Target="https://myanimelist.net/manga/436" TargetMode="External" Id="rId43"/><Relationship Type="http://schemas.openxmlformats.org/officeDocument/2006/relationships/hyperlink" Target="https://myanimelist.net/manga/642" TargetMode="External" Id="rId44"/><Relationship Type="http://schemas.openxmlformats.org/officeDocument/2006/relationships/hyperlink" Target="https://myanimelist.net/manga/121480" TargetMode="External" Id="rId45"/><Relationship Type="http://schemas.openxmlformats.org/officeDocument/2006/relationships/hyperlink" Target="https://myanimelist.net/manga/104" TargetMode="External" Id="rId46"/><Relationship Type="http://schemas.openxmlformats.org/officeDocument/2006/relationships/hyperlink" Target="https://myanimelist.net/manga/126146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7" customWidth="1" min="8" max="8"/>
    <col width="50" customWidth="1" min="9" max="9"/>
    <col width="28" customWidth="1" min="10" max="10"/>
    <col width="16" customWidth="1" min="11" max="11"/>
    <col width="39" customWidth="1" min="12" max="12"/>
  </cols>
  <sheetData>
    <row r="1" ht="28" customHeight="1">
      <c r="A1" s="1" t="inlineStr">
        <is>
          <t>MAL ID</t>
        </is>
      </c>
      <c r="B1" s="1" t="inlineStr">
        <is>
          <t>Title</t>
        </is>
      </c>
      <c r="C1" s="1" t="inlineStr">
        <is>
          <t>Format</t>
        </is>
      </c>
      <c r="D1" s="1" t="inlineStr">
        <is>
          <t>Episodes</t>
        </is>
      </c>
      <c r="E1" s="1" t="inlineStr">
        <is>
          <t>Watched</t>
        </is>
      </c>
      <c r="F1" s="1" t="inlineStr">
        <is>
          <t>Progress %</t>
        </is>
      </c>
      <c r="G1" s="1" t="inlineStr">
        <is>
          <t>My Score</t>
        </is>
      </c>
      <c r="H1" s="1" t="inlineStr">
        <is>
          <t>Status</t>
        </is>
      </c>
      <c r="I1" s="1" t="inlineStr">
        <is>
          <t>Genres</t>
        </is>
      </c>
      <c r="J1" s="1" t="inlineStr">
        <is>
          <t>Studio</t>
        </is>
      </c>
      <c r="K1" s="1" t="inlineStr">
        <is>
          <t>Global Score</t>
        </is>
      </c>
      <c r="L1" s="1" t="inlineStr">
        <is>
          <t>MAL URL</t>
        </is>
      </c>
    </row>
    <row r="2" ht="20" customHeight="1">
      <c r="A2" s="2" t="n">
        <v>31646</v>
      </c>
      <c r="B2" s="3" t="inlineStr">
        <is>
          <t>3-gatsu no Lion</t>
        </is>
      </c>
      <c r="C2" s="4" t="inlineStr">
        <is>
          <t>TV</t>
        </is>
      </c>
      <c r="D2" s="5" t="n">
        <v>22</v>
      </c>
      <c r="E2" s="5" t="n">
        <v>22</v>
      </c>
      <c r="F2" s="6">
        <f>IF(D2&gt;0, E2/D2, IF(H2="Completed", 1, 0))</f>
        <v/>
      </c>
      <c r="G2" s="2" t="n">
        <v>8</v>
      </c>
      <c r="H2" s="4" t="inlineStr">
        <is>
          <t>Completed</t>
        </is>
      </c>
      <c r="I2" s="3" t="inlineStr">
        <is>
          <t>Drama, Slice of Life</t>
        </is>
      </c>
      <c r="J2" s="3" t="inlineStr">
        <is>
          <t>Shaft</t>
        </is>
      </c>
      <c r="K2" s="7" t="n">
        <v>8.300000000000001</v>
      </c>
      <c r="L2" s="8" t="inlineStr">
        <is>
          <t>https://myanimelist.net/anime/31646</t>
        </is>
      </c>
    </row>
    <row r="3" ht="20" customHeight="1">
      <c r="A3" s="9" t="n">
        <v>35180</v>
      </c>
      <c r="B3" s="10" t="inlineStr">
        <is>
          <t>3-gatsu no Lion 2nd Season</t>
        </is>
      </c>
      <c r="C3" s="11" t="inlineStr">
        <is>
          <t>TV</t>
        </is>
      </c>
      <c r="D3" s="12" t="n">
        <v>22</v>
      </c>
      <c r="E3" s="12" t="n">
        <v>22</v>
      </c>
      <c r="F3" s="13">
        <f>IF(D3&gt;0, E3/D3, IF(H3="Completed", 1, 0))</f>
        <v/>
      </c>
      <c r="G3" s="9" t="n">
        <v>8</v>
      </c>
      <c r="H3" s="11" t="inlineStr">
        <is>
          <t>Completed</t>
        </is>
      </c>
      <c r="I3" s="10" t="inlineStr">
        <is>
          <t>Drama, Slice of Life</t>
        </is>
      </c>
      <c r="J3" s="10" t="inlineStr">
        <is>
          <t>Shaft</t>
        </is>
      </c>
      <c r="K3" s="14" t="n">
        <v>8.9</v>
      </c>
      <c r="L3" s="15" t="inlineStr">
        <is>
          <t>https://myanimelist.net/anime/35180</t>
        </is>
      </c>
    </row>
    <row r="4" ht="20" customHeight="1">
      <c r="A4" s="2" t="n">
        <v>38101</v>
      </c>
      <c r="B4" s="3" t="inlineStr">
        <is>
          <t>5-toubun no Hanayome</t>
        </is>
      </c>
      <c r="C4" s="4" t="inlineStr">
        <is>
          <t>TV</t>
        </is>
      </c>
      <c r="D4" s="5" t="n">
        <v>12</v>
      </c>
      <c r="E4" s="5" t="n">
        <v>12</v>
      </c>
      <c r="F4" s="6">
        <f>IF(D4&gt;0, E4/D4, IF(H4="Completed", 1, 0))</f>
        <v/>
      </c>
      <c r="G4" s="2" t="n">
        <v>7</v>
      </c>
      <c r="H4" s="4" t="inlineStr">
        <is>
          <t>Completed</t>
        </is>
      </c>
      <c r="I4" s="3" t="inlineStr">
        <is>
          <t>Comedy, Drama, Romance, Slice of Life</t>
        </is>
      </c>
      <c r="J4" s="3" t="inlineStr">
        <is>
          <t>Tezuka Productions</t>
        </is>
      </c>
      <c r="K4" s="7" t="n">
        <v>7.6</v>
      </c>
      <c r="L4" s="8" t="inlineStr">
        <is>
          <t>https://myanimelist.net/anime/38101</t>
        </is>
      </c>
    </row>
    <row r="5" ht="20" customHeight="1">
      <c r="A5" s="9" t="n">
        <v>39783</v>
      </c>
      <c r="B5" s="10" t="inlineStr">
        <is>
          <t>5-toubun no Hanayome ∬</t>
        </is>
      </c>
      <c r="C5" s="11" t="inlineStr">
        <is>
          <t>TV</t>
        </is>
      </c>
      <c r="D5" s="12" t="n">
        <v>12</v>
      </c>
      <c r="E5" s="12" t="n">
        <v>12</v>
      </c>
      <c r="F5" s="13">
        <f>IF(D5&gt;0, E5/D5, IF(H5="Completed", 1, 0))</f>
        <v/>
      </c>
      <c r="G5" s="9" t="n">
        <v>7</v>
      </c>
      <c r="H5" s="11" t="inlineStr">
        <is>
          <t>Completed</t>
        </is>
      </c>
      <c r="I5" s="10" t="inlineStr">
        <is>
          <t>Comedy, Drama, Romance, Slice of Life</t>
        </is>
      </c>
      <c r="J5" s="10" t="inlineStr">
        <is>
          <t>Bibury Animation Studios</t>
        </is>
      </c>
      <c r="K5" s="14" t="n">
        <v>8</v>
      </c>
      <c r="L5" s="15" t="inlineStr">
        <is>
          <t>https://myanimelist.net/anime/39783</t>
        </is>
      </c>
    </row>
    <row r="6" ht="20" customHeight="1">
      <c r="A6" s="2" t="n">
        <v>6547</v>
      </c>
      <c r="B6" s="3" t="inlineStr">
        <is>
          <t>Angel Beats!</t>
        </is>
      </c>
      <c r="C6" s="4" t="inlineStr">
        <is>
          <t>TV</t>
        </is>
      </c>
      <c r="D6" s="5" t="n">
        <v>13</v>
      </c>
      <c r="E6" s="5" t="n">
        <v>13</v>
      </c>
      <c r="F6" s="6">
        <f>IF(D6&gt;0, E6/D6, IF(H6="Completed", 1, 0))</f>
        <v/>
      </c>
      <c r="G6" s="2" t="n">
        <v>9</v>
      </c>
      <c r="H6" s="4" t="inlineStr">
        <is>
          <t>Completed</t>
        </is>
      </c>
      <c r="I6" s="3" t="inlineStr">
        <is>
          <t>Action, Comedy, Drama, Supernatural</t>
        </is>
      </c>
      <c r="J6" s="3" t="inlineStr">
        <is>
          <t>P.A.WORKS</t>
        </is>
      </c>
      <c r="K6" s="7" t="n">
        <v>7.7</v>
      </c>
      <c r="L6" s="8" t="inlineStr">
        <is>
          <t>https://myanimelist.net/anime/6547</t>
        </is>
      </c>
    </row>
    <row r="7" ht="20" customHeight="1">
      <c r="A7" s="9" t="n">
        <v>9989</v>
      </c>
      <c r="B7" s="10" t="inlineStr">
        <is>
          <t>Ano Hi Mita Hana no Namae wo Bokutachi wa Mada Shiranai.</t>
        </is>
      </c>
      <c r="C7" s="11" t="inlineStr">
        <is>
          <t>TV</t>
        </is>
      </c>
      <c r="D7" s="12" t="n">
        <v>11</v>
      </c>
      <c r="E7" s="12" t="n">
        <v>11</v>
      </c>
      <c r="F7" s="13">
        <f>IF(D7&gt;0, E7/D7, IF(H7="Completed", 1, 0))</f>
        <v/>
      </c>
      <c r="G7" s="9" t="n">
        <v>9</v>
      </c>
      <c r="H7" s="11" t="inlineStr">
        <is>
          <t>Completed</t>
        </is>
      </c>
      <c r="I7" s="10" t="inlineStr">
        <is>
          <t>Drama, Romance, Slice of Life, Supernatural</t>
        </is>
      </c>
      <c r="J7" s="10" t="inlineStr">
        <is>
          <t>A-1 Pictures</t>
        </is>
      </c>
      <c r="K7" s="14" t="n">
        <v>8</v>
      </c>
      <c r="L7" s="15" t="inlineStr">
        <is>
          <t>https://myanimelist.net/anime/9989</t>
        </is>
      </c>
    </row>
    <row r="8" ht="20" customHeight="1">
      <c r="A8" s="2" t="n">
        <v>15039</v>
      </c>
      <c r="B8" s="3" t="inlineStr">
        <is>
          <t>Ano Hi Mita Hana no Namae wo Bokutachi wa Mada Shiranai. Movie</t>
        </is>
      </c>
      <c r="C8" s="4" t="inlineStr">
        <is>
          <t>Movie</t>
        </is>
      </c>
      <c r="D8" s="5" t="n">
        <v>1</v>
      </c>
      <c r="E8" s="5" t="n">
        <v>1</v>
      </c>
      <c r="F8" s="6">
        <f>IF(D8&gt;0, E8/D8, IF(H8="Completed", 1, 0))</f>
        <v/>
      </c>
      <c r="G8" s="2" t="n">
        <v>6</v>
      </c>
      <c r="H8" s="4" t="inlineStr">
        <is>
          <t>Completed</t>
        </is>
      </c>
      <c r="I8" s="3" t="inlineStr">
        <is>
          <t>Drama, Romance, Slice of Life, Supernatural</t>
        </is>
      </c>
      <c r="J8" s="3" t="inlineStr">
        <is>
          <t>A-1 Pictures</t>
        </is>
      </c>
      <c r="K8" s="7" t="n">
        <v>7.6</v>
      </c>
      <c r="L8" s="8" t="inlineStr">
        <is>
          <t>https://myanimelist.net/anime/15039</t>
        </is>
      </c>
    </row>
    <row r="9" ht="20" customHeight="1">
      <c r="A9" s="9" t="n">
        <v>21995</v>
      </c>
      <c r="B9" s="10" t="inlineStr">
        <is>
          <t>Ao Haru Ride</t>
        </is>
      </c>
      <c r="C9" s="11" t="inlineStr">
        <is>
          <t>TV</t>
        </is>
      </c>
      <c r="D9" s="12" t="n">
        <v>12</v>
      </c>
      <c r="E9" s="12" t="n">
        <v>12</v>
      </c>
      <c r="F9" s="13">
        <f>IF(D9&gt;0, E9/D9, IF(H9="Completed", 1, 0))</f>
        <v/>
      </c>
      <c r="G9" s="9" t="n">
        <v>5</v>
      </c>
      <c r="H9" s="11" t="inlineStr">
        <is>
          <t>Completed</t>
        </is>
      </c>
      <c r="I9" s="10" t="inlineStr">
        <is>
          <t>Drama, Romance, Slice of Life</t>
        </is>
      </c>
      <c r="J9" s="10" t="inlineStr">
        <is>
          <t>Production I.G</t>
        </is>
      </c>
      <c r="K9" s="14" t="n">
        <v>7.5</v>
      </c>
      <c r="L9" s="15" t="inlineStr">
        <is>
          <t>https://myanimelist.net/anime/21995</t>
        </is>
      </c>
    </row>
    <row r="10" ht="20" customHeight="1">
      <c r="A10" s="2" t="n">
        <v>38753</v>
      </c>
      <c r="B10" s="3" t="inlineStr">
        <is>
          <t>Araburu Kisetsu no Otome-domo yo.</t>
        </is>
      </c>
      <c r="C10" s="4" t="inlineStr">
        <is>
          <t>TV</t>
        </is>
      </c>
      <c r="D10" s="5" t="n">
        <v>12</v>
      </c>
      <c r="E10" s="5" t="n">
        <v>12</v>
      </c>
      <c r="F10" s="6">
        <f>IF(D10&gt;0, E10/D10, IF(H10="Completed", 1, 0))</f>
        <v/>
      </c>
      <c r="G10" s="2" t="n">
        <v>7</v>
      </c>
      <c r="H10" s="4" t="inlineStr">
        <is>
          <t>Completed</t>
        </is>
      </c>
      <c r="I10" s="3" t="inlineStr">
        <is>
          <t>Comedy, Drama, Romance, Slice of Life</t>
        </is>
      </c>
      <c r="J10" s="3" t="inlineStr">
        <is>
          <t>Lay-duce</t>
        </is>
      </c>
      <c r="K10" s="7" t="n">
        <v>7.1</v>
      </c>
      <c r="L10" s="8" t="inlineStr">
        <is>
          <t>https://myanimelist.net/anime/38753</t>
        </is>
      </c>
    </row>
    <row r="11" ht="20" customHeight="1">
      <c r="A11" s="9" t="n">
        <v>6347</v>
      </c>
      <c r="B11" s="10" t="inlineStr">
        <is>
          <t>Baka to Test to Shoukanjuu</t>
        </is>
      </c>
      <c r="C11" s="11" t="inlineStr">
        <is>
          <t>TV</t>
        </is>
      </c>
      <c r="D11" s="12" t="n">
        <v>13</v>
      </c>
      <c r="E11" s="12" t="n">
        <v>13</v>
      </c>
      <c r="F11" s="13">
        <f>IF(D11&gt;0, E11/D11, IF(H11="Completed", 1, 0))</f>
        <v/>
      </c>
      <c r="G11" s="9" t="n">
        <v>7</v>
      </c>
      <c r="H11" s="11" t="inlineStr">
        <is>
          <t>Completed</t>
        </is>
      </c>
      <c r="I11" s="10" t="inlineStr">
        <is>
          <t>Comedy, Romance</t>
        </is>
      </c>
      <c r="J11" s="10" t="inlineStr">
        <is>
          <t>SILVER LINK.</t>
        </is>
      </c>
      <c r="K11" s="14" t="n">
        <v>7.1</v>
      </c>
      <c r="L11" s="15" t="inlineStr">
        <is>
          <t>https://myanimelist.net/anime/6347</t>
        </is>
      </c>
    </row>
    <row r="12" ht="20" customHeight="1">
      <c r="A12" s="2" t="n">
        <v>8516</v>
      </c>
      <c r="B12" s="3" t="inlineStr">
        <is>
          <t>Baka to Test to Shoukanjuu Ni!</t>
        </is>
      </c>
      <c r="C12" s="4" t="inlineStr">
        <is>
          <t>TV</t>
        </is>
      </c>
      <c r="D12" s="5" t="n">
        <v>13</v>
      </c>
      <c r="E12" s="5" t="n">
        <v>13</v>
      </c>
      <c r="F12" s="6">
        <f>IF(D12&gt;0, E12/D12, IF(H12="Completed", 1, 0))</f>
        <v/>
      </c>
      <c r="G12" s="2" t="n">
        <v>7</v>
      </c>
      <c r="H12" s="4" t="inlineStr">
        <is>
          <t>Completed</t>
        </is>
      </c>
      <c r="I12" s="3" t="inlineStr">
        <is>
          <t>Comedy, Romance, Slice of Life</t>
        </is>
      </c>
      <c r="J12" s="3" t="inlineStr">
        <is>
          <t>SILVER LINK.</t>
        </is>
      </c>
      <c r="K12" s="7" t="n">
        <v>7.4</v>
      </c>
      <c r="L12" s="8" t="inlineStr">
        <is>
          <t>https://myanimelist.net/anime/8516</t>
        </is>
      </c>
    </row>
    <row r="13" ht="20" customHeight="1">
      <c r="A13" s="9" t="n">
        <v>28805</v>
      </c>
      <c r="B13" s="10" t="inlineStr">
        <is>
          <t>Bakemono no Ko</t>
        </is>
      </c>
      <c r="C13" s="11" t="inlineStr">
        <is>
          <t>Movie</t>
        </is>
      </c>
      <c r="D13" s="12" t="n">
        <v>1</v>
      </c>
      <c r="E13" s="12" t="n">
        <v>1</v>
      </c>
      <c r="F13" s="13">
        <f>IF(D13&gt;0, E13/D13, IF(H13="Completed", 1, 0))</f>
        <v/>
      </c>
      <c r="G13" s="9" t="n">
        <v>8</v>
      </c>
      <c r="H13" s="11" t="inlineStr">
        <is>
          <t>Completed</t>
        </is>
      </c>
      <c r="I13" s="10" t="inlineStr">
        <is>
          <t>Action, Adventure, Comedy, Drama, Fantasy, Supernatural</t>
        </is>
      </c>
      <c r="J13" s="10" t="inlineStr">
        <is>
          <t>Studio Chizu</t>
        </is>
      </c>
      <c r="K13" s="14" t="n">
        <v>7.9</v>
      </c>
      <c r="L13" s="15" t="inlineStr">
        <is>
          <t>https://myanimelist.net/anime/28805</t>
        </is>
      </c>
    </row>
    <row r="14" ht="20" customHeight="1">
      <c r="A14" s="2" t="n">
        <v>5081</v>
      </c>
      <c r="B14" s="3" t="inlineStr">
        <is>
          <t>Bakemonogatari</t>
        </is>
      </c>
      <c r="C14" s="4" t="inlineStr">
        <is>
          <t>TV</t>
        </is>
      </c>
      <c r="D14" s="5" t="n">
        <v>15</v>
      </c>
      <c r="E14" s="5" t="n">
        <v>15</v>
      </c>
      <c r="F14" s="6">
        <f>IF(D14&gt;0, E14/D14, IF(H14="Completed", 1, 0))</f>
        <v/>
      </c>
      <c r="G14" s="2" t="n">
        <v>9</v>
      </c>
      <c r="H14" s="4" t="inlineStr">
        <is>
          <t>Completed</t>
        </is>
      </c>
      <c r="I14" s="3" t="inlineStr">
        <is>
          <t>Comedy, Drama, Mystery, Psychological, Romance, Supernatural</t>
        </is>
      </c>
      <c r="J14" s="3" t="inlineStr">
        <is>
          <t>Shaft</t>
        </is>
      </c>
      <c r="K14" s="7" t="n">
        <v>8.199999999999999</v>
      </c>
      <c r="L14" s="8" t="inlineStr">
        <is>
          <t>https://myanimelist.net/anime/5081</t>
        </is>
      </c>
    </row>
    <row r="15" ht="20" customHeight="1">
      <c r="A15" s="9" t="n">
        <v>39195</v>
      </c>
      <c r="B15" s="10" t="inlineStr">
        <is>
          <t>Beastars</t>
        </is>
      </c>
      <c r="C15" s="11" t="inlineStr">
        <is>
          <t>TV</t>
        </is>
      </c>
      <c r="D15" s="12" t="n">
        <v>12</v>
      </c>
      <c r="E15" s="12" t="n">
        <v>12</v>
      </c>
      <c r="F15" s="13">
        <f>IF(D15&gt;0, E15/D15, IF(H15="Completed", 1, 0))</f>
        <v/>
      </c>
      <c r="G15" s="9" t="n">
        <v>7</v>
      </c>
      <c r="H15" s="11" t="inlineStr">
        <is>
          <t>Completed</t>
        </is>
      </c>
      <c r="I15" s="10" t="inlineStr">
        <is>
          <t>Drama, Mystery, Psychological, Romance, Slice of Life</t>
        </is>
      </c>
      <c r="J15" s="10" t="inlineStr">
        <is>
          <t>Orange</t>
        </is>
      </c>
      <c r="K15" s="14" t="n">
        <v>7.7</v>
      </c>
      <c r="L15" s="15" t="inlineStr">
        <is>
          <t>https://myanimelist.net/anime/39195</t>
        </is>
      </c>
    </row>
    <row r="16" ht="20" customHeight="1">
      <c r="A16" s="2" t="n">
        <v>47917</v>
      </c>
      <c r="B16" s="3" t="inlineStr">
        <is>
          <t>Bocchi the Rock!</t>
        </is>
      </c>
      <c r="C16" s="4" t="inlineStr">
        <is>
          <t>TV</t>
        </is>
      </c>
      <c r="D16" s="5" t="n">
        <v>12</v>
      </c>
      <c r="E16" s="5" t="n">
        <v>12</v>
      </c>
      <c r="F16" s="6">
        <f>IF(D16&gt;0, E16/D16, IF(H16="Completed", 1, 0))</f>
        <v/>
      </c>
      <c r="G16" s="2" t="n">
        <v>9</v>
      </c>
      <c r="H16" s="4" t="inlineStr">
        <is>
          <t>Completed</t>
        </is>
      </c>
      <c r="I16" s="3" t="inlineStr">
        <is>
          <t>Comedy, Music, Slice of Life</t>
        </is>
      </c>
      <c r="J16" s="3" t="inlineStr">
        <is>
          <t>CloverWorks</t>
        </is>
      </c>
      <c r="K16" s="7" t="n">
        <v>8.699999999999999</v>
      </c>
      <c r="L16" s="8" t="inlineStr">
        <is>
          <t>https://myanimelist.net/anime/47917</t>
        </is>
      </c>
    </row>
    <row r="17" ht="20" customHeight="1">
      <c r="A17" s="9" t="n">
        <v>31043</v>
      </c>
      <c r="B17" s="10" t="inlineStr">
        <is>
          <t>Boku dake ga Inai Machi</t>
        </is>
      </c>
      <c r="C17" s="11" t="inlineStr">
        <is>
          <t>TV</t>
        </is>
      </c>
      <c r="D17" s="12" t="n">
        <v>12</v>
      </c>
      <c r="E17" s="12" t="n">
        <v>12</v>
      </c>
      <c r="F17" s="13">
        <f>IF(D17&gt;0, E17/D17, IF(H17="Completed", 1, 0))</f>
        <v/>
      </c>
      <c r="G17" s="9" t="n">
        <v>7</v>
      </c>
      <c r="H17" s="11" t="inlineStr">
        <is>
          <t>Completed</t>
        </is>
      </c>
      <c r="I17" s="10" t="inlineStr">
        <is>
          <t>Drama, Mystery, Psychological, Supernatural, Thriller</t>
        </is>
      </c>
      <c r="J17" s="10" t="inlineStr">
        <is>
          <t>A-1 Pictures</t>
        </is>
      </c>
      <c r="K17" s="14" t="n">
        <v>8.1</v>
      </c>
      <c r="L17" s="15" t="inlineStr">
        <is>
          <t>https://myanimelist.net/anime/31043</t>
        </is>
      </c>
    </row>
    <row r="18" ht="20" customHeight="1">
      <c r="A18" s="2" t="n">
        <v>52578</v>
      </c>
      <c r="B18" s="3" t="inlineStr">
        <is>
          <t>Boku no Kokoro no Yabai Yatsu</t>
        </is>
      </c>
      <c r="C18" s="4" t="inlineStr">
        <is>
          <t>TV</t>
        </is>
      </c>
      <c r="D18" s="5" t="n">
        <v>12</v>
      </c>
      <c r="E18" s="5" t="n">
        <v>12</v>
      </c>
      <c r="F18" s="6">
        <f>IF(D18&gt;0, E18/D18, IF(H18="Completed", 1, 0))</f>
        <v/>
      </c>
      <c r="G18" s="2" t="n">
        <v>9</v>
      </c>
      <c r="H18" s="4" t="inlineStr">
        <is>
          <t>Completed</t>
        </is>
      </c>
      <c r="I18" s="3" t="inlineStr">
        <is>
          <t>Comedy, Romance, Slice of Life</t>
        </is>
      </c>
      <c r="J18" s="3" t="inlineStr">
        <is>
          <t>Shin-Ei Animation</t>
        </is>
      </c>
      <c r="K18" s="7" t="n">
        <v>8.1</v>
      </c>
      <c r="L18" s="8" t="inlineStr">
        <is>
          <t>https://myanimelist.net/anime/52578</t>
        </is>
      </c>
    </row>
    <row r="19" ht="20" customHeight="1">
      <c r="A19" s="9" t="n">
        <v>55690</v>
      </c>
      <c r="B19" s="10" t="inlineStr">
        <is>
          <t>Boku no Kokoro no Yabai Yatsu 2nd Season</t>
        </is>
      </c>
      <c r="C19" s="11" t="inlineStr">
        <is>
          <t>TV</t>
        </is>
      </c>
      <c r="D19" s="12" t="n">
        <v>13</v>
      </c>
      <c r="E19" s="12" t="n">
        <v>13</v>
      </c>
      <c r="F19" s="13">
        <f>IF(D19&gt;0, E19/D19, IF(H19="Completed", 1, 0))</f>
        <v/>
      </c>
      <c r="G19" s="9" t="n">
        <v>9</v>
      </c>
      <c r="H19" s="11" t="inlineStr">
        <is>
          <t>Completed</t>
        </is>
      </c>
      <c r="I19" s="10" t="inlineStr">
        <is>
          <t>Comedy, Romance, Slice of Life</t>
        </is>
      </c>
      <c r="J19" s="10" t="inlineStr">
        <is>
          <t>Shin-Ei Animation</t>
        </is>
      </c>
      <c r="K19" s="14" t="n">
        <v>8.6</v>
      </c>
      <c r="L19" s="15" t="inlineStr">
        <is>
          <t>https://myanimelist.net/anime/55690</t>
        </is>
      </c>
    </row>
    <row r="20" ht="20" customHeight="1">
      <c r="A20" s="2" t="n">
        <v>1639</v>
      </c>
      <c r="B20" s="3" t="inlineStr">
        <is>
          <t>Boku no Pico</t>
        </is>
      </c>
      <c r="C20" s="4" t="inlineStr">
        <is>
          <t>OVA</t>
        </is>
      </c>
      <c r="D20" s="5" t="n">
        <v>1</v>
      </c>
      <c r="E20" s="5" t="n">
        <v>1</v>
      </c>
      <c r="F20" s="6">
        <f>IF(D20&gt;0, E20/D20, IF(H20="Completed", 1, 0))</f>
        <v/>
      </c>
      <c r="G20" s="2" t="n">
        <v>1</v>
      </c>
      <c r="H20" s="4" t="inlineStr">
        <is>
          <t>Dropped</t>
        </is>
      </c>
      <c r="I20" s="3" t="inlineStr">
        <is>
          <t>Hentai, Romance</t>
        </is>
      </c>
      <c r="J20" s="3" t="inlineStr">
        <is>
          <t>Natural High</t>
        </is>
      </c>
      <c r="K20" s="7" t="n">
        <v>3.4</v>
      </c>
      <c r="L20" s="8" t="inlineStr">
        <is>
          <t>https://myanimelist.net/anime/1639</t>
        </is>
      </c>
    </row>
    <row r="21" ht="20" customHeight="1">
      <c r="A21" s="9" t="n">
        <v>1689</v>
      </c>
      <c r="B21" s="10" t="inlineStr">
        <is>
          <t>Byousoku 5 Centimeter</t>
        </is>
      </c>
      <c r="C21" s="11" t="inlineStr">
        <is>
          <t>Movie</t>
        </is>
      </c>
      <c r="D21" s="12" t="n">
        <v>3</v>
      </c>
      <c r="E21" s="12" t="n">
        <v>3</v>
      </c>
      <c r="F21" s="13">
        <f>IF(D21&gt;0, E21/D21, IF(H21="Completed", 1, 0))</f>
        <v/>
      </c>
      <c r="G21" s="9" t="n">
        <v>9</v>
      </c>
      <c r="H21" s="11" t="inlineStr">
        <is>
          <t>Completed</t>
        </is>
      </c>
      <c r="I21" s="10" t="inlineStr">
        <is>
          <t>Drama, Romance, Slice of Life</t>
        </is>
      </c>
      <c r="J21" s="10" t="inlineStr">
        <is>
          <t>CoMix Wave</t>
        </is>
      </c>
      <c r="K21" s="14" t="n">
        <v>7.2</v>
      </c>
      <c r="L21" s="15" t="inlineStr">
        <is>
          <t>https://myanimelist.net/anime/1689</t>
        </is>
      </c>
    </row>
    <row r="22" ht="20" customHeight="1">
      <c r="A22" s="2" t="n">
        <v>44511</v>
      </c>
      <c r="B22" s="3" t="inlineStr">
        <is>
          <t>Chainsaw Man</t>
        </is>
      </c>
      <c r="C22" s="4" t="inlineStr">
        <is>
          <t>TV</t>
        </is>
      </c>
      <c r="D22" s="5" t="n">
        <v>12</v>
      </c>
      <c r="E22" s="5" t="n">
        <v>12</v>
      </c>
      <c r="F22" s="6">
        <f>IF(D22&gt;0, E22/D22, IF(H22="Completed", 1, 0))</f>
        <v/>
      </c>
      <c r="G22" s="2" t="n">
        <v>8</v>
      </c>
      <c r="H22" s="4" t="inlineStr">
        <is>
          <t>Completed</t>
        </is>
      </c>
      <c r="I22" s="3" t="inlineStr">
        <is>
          <t>Action, Drama, Horror, Supernatural</t>
        </is>
      </c>
      <c r="J22" s="3" t="inlineStr">
        <is>
          <t>MAPPA</t>
        </is>
      </c>
      <c r="K22" s="7" t="n">
        <v>8.300000000000001</v>
      </c>
      <c r="L22" s="8" t="inlineStr">
        <is>
          <t>https://myanimelist.net/anime/44511</t>
        </is>
      </c>
    </row>
    <row r="23" ht="20" customHeight="1">
      <c r="A23" s="9" t="n">
        <v>14741</v>
      </c>
      <c r="B23" s="10" t="inlineStr">
        <is>
          <t>Chuunibyou demo Koi ga Shitai!</t>
        </is>
      </c>
      <c r="C23" s="11" t="inlineStr">
        <is>
          <t>TV</t>
        </is>
      </c>
      <c r="D23" s="12" t="n">
        <v>12</v>
      </c>
      <c r="E23" s="12" t="n">
        <v>12</v>
      </c>
      <c r="F23" s="13">
        <f>IF(D23&gt;0, E23/D23, IF(H23="Completed", 1, 0))</f>
        <v/>
      </c>
      <c r="G23" s="9" t="n">
        <v>7</v>
      </c>
      <c r="H23" s="11" t="inlineStr">
        <is>
          <t>Completed</t>
        </is>
      </c>
      <c r="I23" s="10" t="inlineStr">
        <is>
          <t>Comedy, Drama, Romance, Slice of Life</t>
        </is>
      </c>
      <c r="J23" s="10" t="inlineStr">
        <is>
          <t>Kyoto Animation</t>
        </is>
      </c>
      <c r="K23" s="14" t="n">
        <v>7.6</v>
      </c>
      <c r="L23" s="15" t="inlineStr">
        <is>
          <t>https://myanimelist.net/anime/14741</t>
        </is>
      </c>
    </row>
    <row r="24" ht="20" customHeight="1">
      <c r="A24" s="2" t="n">
        <v>35608</v>
      </c>
      <c r="B24" s="3" t="inlineStr">
        <is>
          <t>Chuunibyou demo Koi ga Shitai! Movie: Take On Me</t>
        </is>
      </c>
      <c r="C24" s="4" t="inlineStr">
        <is>
          <t>Movie</t>
        </is>
      </c>
      <c r="D24" s="5" t="n">
        <v>1</v>
      </c>
      <c r="E24" s="5" t="n">
        <v>1</v>
      </c>
      <c r="F24" s="6">
        <f>IF(D24&gt;0, E24/D24, IF(H24="Completed", 1, 0))</f>
        <v/>
      </c>
      <c r="G24" s="2" t="n">
        <v>7</v>
      </c>
      <c r="H24" s="4" t="inlineStr">
        <is>
          <t>Completed</t>
        </is>
      </c>
      <c r="I24" s="3" t="inlineStr">
        <is>
          <t>Comedy, Drama, Romance, Slice of Life</t>
        </is>
      </c>
      <c r="J24" s="3" t="inlineStr">
        <is>
          <t>Kyoto Animation</t>
        </is>
      </c>
      <c r="K24" s="7" t="n">
        <v>8</v>
      </c>
      <c r="L24" s="8" t="inlineStr">
        <is>
          <t>https://myanimelist.net/anime/35608</t>
        </is>
      </c>
    </row>
    <row r="25" ht="20" customHeight="1">
      <c r="A25" s="9" t="n">
        <v>18671</v>
      </c>
      <c r="B25" s="10" t="inlineStr">
        <is>
          <t>Chuunibyou demo Koi ga Shitai! Ren</t>
        </is>
      </c>
      <c r="C25" s="11" t="inlineStr">
        <is>
          <t>TV</t>
        </is>
      </c>
      <c r="D25" s="12" t="n">
        <v>12</v>
      </c>
      <c r="E25" s="12" t="n">
        <v>12</v>
      </c>
      <c r="F25" s="13">
        <f>IF(D25&gt;0, E25/D25, IF(H25="Completed", 1, 0))</f>
        <v/>
      </c>
      <c r="G25" s="9" t="n">
        <v>6</v>
      </c>
      <c r="H25" s="11" t="inlineStr">
        <is>
          <t>Completed</t>
        </is>
      </c>
      <c r="I25" s="10" t="inlineStr">
        <is>
          <t>Comedy, Drama, Romance, Slice of Life</t>
        </is>
      </c>
      <c r="J25" s="10" t="inlineStr">
        <is>
          <t>Kyoto Animation</t>
        </is>
      </c>
      <c r="K25" s="14" t="n">
        <v>7.4</v>
      </c>
      <c r="L25" s="15" t="inlineStr">
        <is>
          <t>https://myanimelist.net/anime/18671</t>
        </is>
      </c>
    </row>
    <row r="26" ht="20" customHeight="1">
      <c r="A26" s="2" t="n">
        <v>2167</v>
      </c>
      <c r="B26" s="3" t="inlineStr">
        <is>
          <t>Clannad</t>
        </is>
      </c>
      <c r="C26" s="4" t="inlineStr">
        <is>
          <t>TV</t>
        </is>
      </c>
      <c r="D26" s="5" t="n">
        <v>23</v>
      </c>
      <c r="E26" s="5" t="n">
        <v>23</v>
      </c>
      <c r="F26" s="6">
        <f>IF(D26&gt;0, E26/D26, IF(H26="Completed", 1, 0))</f>
        <v/>
      </c>
      <c r="G26" s="2" t="n">
        <v>8</v>
      </c>
      <c r="H26" s="4" t="inlineStr">
        <is>
          <t>Completed</t>
        </is>
      </c>
      <c r="I26" s="3" t="inlineStr">
        <is>
          <t>Comedy, Drama, Romance, Slice of Life, Supernatural</t>
        </is>
      </c>
      <c r="J26" s="3" t="inlineStr">
        <is>
          <t>Kyoto Animation</t>
        </is>
      </c>
      <c r="K26" s="7" t="n">
        <v>7.7</v>
      </c>
      <c r="L26" s="8" t="inlineStr">
        <is>
          <t>https://myanimelist.net/anime/2167</t>
        </is>
      </c>
    </row>
    <row r="27" ht="20" customHeight="1">
      <c r="A27" s="9" t="n">
        <v>4181</v>
      </c>
      <c r="B27" s="10" t="inlineStr">
        <is>
          <t>Clannad: After Story</t>
        </is>
      </c>
      <c r="C27" s="11" t="inlineStr">
        <is>
          <t>TV</t>
        </is>
      </c>
      <c r="D27" s="12" t="n">
        <v>24</v>
      </c>
      <c r="E27" s="12" t="n">
        <v>24</v>
      </c>
      <c r="F27" s="13">
        <f>IF(D27&gt;0, E27/D27, IF(H27="Completed", 1, 0))</f>
        <v/>
      </c>
      <c r="G27" s="9" t="n">
        <v>10</v>
      </c>
      <c r="H27" s="11" t="inlineStr">
        <is>
          <t>Completed</t>
        </is>
      </c>
      <c r="I27" s="10" t="inlineStr">
        <is>
          <t>Drama, Romance, Slice of Life, Supernatural</t>
        </is>
      </c>
      <c r="J27" s="10" t="inlineStr">
        <is>
          <t>Kyoto Animation</t>
        </is>
      </c>
      <c r="K27" s="14" t="n">
        <v>8.800000000000001</v>
      </c>
      <c r="L27" s="15" t="inlineStr">
        <is>
          <t>https://myanimelist.net/anime/4181</t>
        </is>
      </c>
    </row>
    <row r="28" ht="20" customHeight="1">
      <c r="A28" s="2" t="n">
        <v>8142</v>
      </c>
      <c r="B28" s="3" t="inlineStr">
        <is>
          <t>Colorful (Movie)</t>
        </is>
      </c>
      <c r="C28" s="4" t="inlineStr">
        <is>
          <t>Movie</t>
        </is>
      </c>
      <c r="D28" s="5" t="n">
        <v>1</v>
      </c>
      <c r="E28" s="5" t="n">
        <v>1</v>
      </c>
      <c r="F28" s="6">
        <f>IF(D28&gt;0, E28/D28, IF(H28="Completed", 1, 0))</f>
        <v/>
      </c>
      <c r="G28" s="2" t="n">
        <v>6</v>
      </c>
      <c r="H28" s="4" t="inlineStr">
        <is>
          <t>Completed</t>
        </is>
      </c>
      <c r="I28" s="3" t="inlineStr">
        <is>
          <t>Drama, Slice of Life, Supernatural</t>
        </is>
      </c>
      <c r="J28" s="3" t="inlineStr">
        <is>
          <t>Sunrise</t>
        </is>
      </c>
      <c r="K28" s="7" t="n">
        <v>7.5</v>
      </c>
      <c r="L28" s="8" t="inlineStr">
        <is>
          <t>https://myanimelist.net/anime/8142</t>
        </is>
      </c>
    </row>
    <row r="29" ht="20" customHeight="1">
      <c r="A29" s="9" t="n">
        <v>1</v>
      </c>
      <c r="B29" s="10" t="inlineStr">
        <is>
          <t>Cowboy Bebop</t>
        </is>
      </c>
      <c r="C29" s="11" t="inlineStr">
        <is>
          <t>TV</t>
        </is>
      </c>
      <c r="D29" s="12" t="n">
        <v>26</v>
      </c>
      <c r="E29" s="12" t="n">
        <v>4</v>
      </c>
      <c r="F29" s="13">
        <f>IF(D29&gt;0, E29/D29, IF(H29="Completed", 1, 0))</f>
        <v/>
      </c>
      <c r="G29" s="9" t="n">
        <v>8</v>
      </c>
      <c r="H29" s="11" t="inlineStr">
        <is>
          <t>On-Hold</t>
        </is>
      </c>
      <c r="I29" s="10" t="inlineStr">
        <is>
          <t>Action, Adventure, Drama, Sci-Fi</t>
        </is>
      </c>
      <c r="J29" s="10" t="inlineStr">
        <is>
          <t>Sunrise</t>
        </is>
      </c>
      <c r="K29" s="14" t="n">
        <v>8.6</v>
      </c>
      <c r="L29" s="15" t="inlineStr">
        <is>
          <t>https://myanimelist.net/anime/1</t>
        </is>
      </c>
    </row>
    <row r="30" ht="20" customHeight="1">
      <c r="A30" s="2" t="n">
        <v>57334</v>
      </c>
      <c r="B30" s="3" t="inlineStr">
        <is>
          <t>Dandadan</t>
        </is>
      </c>
      <c r="C30" s="4" t="inlineStr">
        <is>
          <t>TV</t>
        </is>
      </c>
      <c r="D30" s="5" t="n">
        <v>12</v>
      </c>
      <c r="E30" s="5" t="n">
        <v>12</v>
      </c>
      <c r="F30" s="6">
        <f>IF(D30&gt;0, E30/D30, IF(H30="Completed", 1, 0))</f>
        <v/>
      </c>
      <c r="G30" s="2" t="n">
        <v>7</v>
      </c>
      <c r="H30" s="4" t="inlineStr">
        <is>
          <t>Completed</t>
        </is>
      </c>
      <c r="I30" s="3" t="inlineStr">
        <is>
          <t>Action, Comedy, Drama, Romance, Sci-Fi, Supernatural</t>
        </is>
      </c>
      <c r="J30" s="3" t="inlineStr">
        <is>
          <t>Science SARU</t>
        </is>
      </c>
      <c r="K30" s="7" t="n">
        <v>8.300000000000001</v>
      </c>
      <c r="L30" s="8" t="inlineStr">
        <is>
          <t>https://myanimelist.net/anime/57334</t>
        </is>
      </c>
    </row>
    <row r="31" ht="20" customHeight="1">
      <c r="A31" s="9" t="n">
        <v>11843</v>
      </c>
      <c r="B31" s="10" t="inlineStr">
        <is>
          <t>Danshi Koukousei no Nichijou</t>
        </is>
      </c>
      <c r="C31" s="11" t="inlineStr">
        <is>
          <t>TV</t>
        </is>
      </c>
      <c r="D31" s="12" t="n">
        <v>12</v>
      </c>
      <c r="E31" s="12" t="n">
        <v>12</v>
      </c>
      <c r="F31" s="13">
        <f>IF(D31&gt;0, E31/D31, IF(H31="Completed", 1, 0))</f>
        <v/>
      </c>
      <c r="G31" s="9" t="n">
        <v>6</v>
      </c>
      <c r="H31" s="11" t="inlineStr">
        <is>
          <t>Completed</t>
        </is>
      </c>
      <c r="I31" s="10" t="inlineStr">
        <is>
          <t>Comedy, Slice of Life</t>
        </is>
      </c>
      <c r="J31" s="10" t="inlineStr">
        <is>
          <t>Sunrise</t>
        </is>
      </c>
      <c r="K31" s="14" t="n">
        <v>8</v>
      </c>
      <c r="L31" s="15" t="inlineStr">
        <is>
          <t>https://myanimelist.net/anime/11843</t>
        </is>
      </c>
    </row>
    <row r="32" ht="20" customHeight="1">
      <c r="A32" s="2" t="n">
        <v>1535</v>
      </c>
      <c r="B32" s="3" t="inlineStr">
        <is>
          <t>Death Note</t>
        </is>
      </c>
      <c r="C32" s="4" t="inlineStr">
        <is>
          <t>TV</t>
        </is>
      </c>
      <c r="D32" s="5" t="n">
        <v>37</v>
      </c>
      <c r="E32" s="5" t="n">
        <v>37</v>
      </c>
      <c r="F32" s="6">
        <f>IF(D32&gt;0, E32/D32, IF(H32="Completed", 1, 0))</f>
        <v/>
      </c>
      <c r="G32" s="2" t="n">
        <v>9</v>
      </c>
      <c r="H32" s="4" t="inlineStr">
        <is>
          <t>Completed</t>
        </is>
      </c>
      <c r="I32" s="3" t="inlineStr">
        <is>
          <t>Mystery, Psychological, Supernatural, Thriller</t>
        </is>
      </c>
      <c r="J32" s="3" t="inlineStr">
        <is>
          <t>MADHOUSE</t>
        </is>
      </c>
      <c r="K32" s="7" t="n">
        <v>8.4</v>
      </c>
      <c r="L32" s="8" t="inlineStr">
        <is>
          <t>https://myanimelist.net/anime/1535</t>
        </is>
      </c>
    </row>
    <row r="33" ht="20" customHeight="1">
      <c r="A33" s="9" t="n">
        <v>28223</v>
      </c>
      <c r="B33" s="10" t="inlineStr">
        <is>
          <t>Death Parade</t>
        </is>
      </c>
      <c r="C33" s="11" t="inlineStr">
        <is>
          <t>TV</t>
        </is>
      </c>
      <c r="D33" s="12" t="n">
        <v>12</v>
      </c>
      <c r="E33" s="12" t="n">
        <v>12</v>
      </c>
      <c r="F33" s="13">
        <f>IF(D33&gt;0, E33/D33, IF(H33="Completed", 1, 0))</f>
        <v/>
      </c>
      <c r="G33" s="9" t="n">
        <v>7</v>
      </c>
      <c r="H33" s="11" t="inlineStr">
        <is>
          <t>Completed</t>
        </is>
      </c>
      <c r="I33" s="10" t="inlineStr">
        <is>
          <t>Drama, Mystery, Psychological, Supernatural, Thriller</t>
        </is>
      </c>
      <c r="J33" s="10" t="inlineStr">
        <is>
          <t>MADHOUSE</t>
        </is>
      </c>
      <c r="K33" s="14" t="n">
        <v>8</v>
      </c>
      <c r="L33" s="15" t="inlineStr">
        <is>
          <t>https://myanimelist.net/anime/28223</t>
        </is>
      </c>
    </row>
    <row r="34" ht="20" customHeight="1">
      <c r="A34" s="2" t="n">
        <v>28121</v>
      </c>
      <c r="B34" s="3" t="inlineStr">
        <is>
          <t>Dungeon ni Deai wo Motomeru no wa Machigatteiru Darou ka</t>
        </is>
      </c>
      <c r="C34" s="4" t="inlineStr">
        <is>
          <t>TV</t>
        </is>
      </c>
      <c r="D34" s="5" t="n">
        <v>13</v>
      </c>
      <c r="E34" s="5" t="n">
        <v>13</v>
      </c>
      <c r="F34" s="6">
        <f>IF(D34&gt;0, E34/D34, IF(H34="Completed", 1, 0))</f>
        <v/>
      </c>
      <c r="G34" s="2" t="n">
        <v>6</v>
      </c>
      <c r="H34" s="4" t="inlineStr">
        <is>
          <t>Completed</t>
        </is>
      </c>
      <c r="I34" s="3" t="inlineStr">
        <is>
          <t>Action, Adventure, Comedy, Fantasy, Romance</t>
        </is>
      </c>
      <c r="J34" s="3" t="inlineStr">
        <is>
          <t>J.C.STAFF</t>
        </is>
      </c>
      <c r="K34" s="7" t="n">
        <v>7.3</v>
      </c>
      <c r="L34" s="8" t="inlineStr">
        <is>
          <t>https://myanimelist.net/anime/28121</t>
        </is>
      </c>
    </row>
    <row r="35" ht="20" customHeight="1">
      <c r="A35" s="9" t="n">
        <v>37347</v>
      </c>
      <c r="B35" s="10" t="inlineStr">
        <is>
          <t>Dungeon ni Deai wo Motomeru no wa Machigatteiru Darou ka II</t>
        </is>
      </c>
      <c r="C35" s="11" t="inlineStr">
        <is>
          <t>TV</t>
        </is>
      </c>
      <c r="D35" s="12" t="n">
        <v>12</v>
      </c>
      <c r="E35" s="12" t="n">
        <v>12</v>
      </c>
      <c r="F35" s="13">
        <f>IF(D35&gt;0, E35/D35, IF(H35="Completed", 1, 0))</f>
        <v/>
      </c>
      <c r="G35" s="9" t="n">
        <v>5</v>
      </c>
      <c r="H35" s="11" t="inlineStr">
        <is>
          <t>Completed</t>
        </is>
      </c>
      <c r="I35" s="10" t="inlineStr">
        <is>
          <t>Action, Adventure, Comedy, Fantasy, Romance</t>
        </is>
      </c>
      <c r="J35" s="10" t="inlineStr">
        <is>
          <t>J.C.STAFF</t>
        </is>
      </c>
      <c r="K35" s="14" t="n">
        <v>7.1</v>
      </c>
      <c r="L35" s="15" t="inlineStr">
        <is>
          <t>https://myanimelist.net/anime/37347</t>
        </is>
      </c>
    </row>
    <row r="36" ht="20" customHeight="1">
      <c r="A36" s="2" t="n">
        <v>356</v>
      </c>
      <c r="B36" s="3" t="inlineStr">
        <is>
          <t>Fate/stay night</t>
        </is>
      </c>
      <c r="C36" s="4" t="inlineStr">
        <is>
          <t>TV</t>
        </is>
      </c>
      <c r="D36" s="5" t="n">
        <v>24</v>
      </c>
      <c r="E36" s="5" t="n">
        <v>24</v>
      </c>
      <c r="F36" s="6">
        <f>IF(D36&gt;0, E36/D36, IF(H36="Completed", 1, 0))</f>
        <v/>
      </c>
      <c r="G36" s="2" t="n">
        <v>7</v>
      </c>
      <c r="H36" s="4" t="inlineStr">
        <is>
          <t>Completed</t>
        </is>
      </c>
      <c r="I36" s="3" t="inlineStr">
        <is>
          <t>Action, Fantasy, Romance, Supernatural</t>
        </is>
      </c>
      <c r="J36" s="3" t="inlineStr">
        <is>
          <t>Studio DEEN</t>
        </is>
      </c>
      <c r="K36" s="7" t="n">
        <v>6.8</v>
      </c>
      <c r="L36" s="8" t="inlineStr">
        <is>
          <t>https://myanimelist.net/anime/356</t>
        </is>
      </c>
    </row>
    <row r="37" ht="20" customHeight="1">
      <c r="A37" s="9" t="n">
        <v>25537</v>
      </c>
      <c r="B37" s="10" t="inlineStr">
        <is>
          <t>Fate/stay night Movie: Heaven's Feel - I. Presage Flower</t>
        </is>
      </c>
      <c r="C37" s="11" t="inlineStr">
        <is>
          <t>Movie</t>
        </is>
      </c>
      <c r="D37" s="12" t="n">
        <v>1</v>
      </c>
      <c r="E37" s="12" t="n">
        <v>1</v>
      </c>
      <c r="F37" s="13">
        <f>IF(D37&gt;0, E37/D37, IF(H37="Completed", 1, 0))</f>
        <v/>
      </c>
      <c r="G37" s="9" t="n">
        <v>8</v>
      </c>
      <c r="H37" s="11" t="inlineStr">
        <is>
          <t>Completed</t>
        </is>
      </c>
      <c r="I37" s="10" t="inlineStr">
        <is>
          <t>Action, Fantasy, Psychological, Supernatural</t>
        </is>
      </c>
      <c r="J37" s="10" t="inlineStr">
        <is>
          <t>ufotable</t>
        </is>
      </c>
      <c r="K37" s="14" t="n">
        <v>8</v>
      </c>
      <c r="L37" s="15" t="inlineStr">
        <is>
          <t>https://myanimelist.net/anime/25537</t>
        </is>
      </c>
    </row>
    <row r="38" ht="20" customHeight="1">
      <c r="A38" s="2" t="n">
        <v>33049</v>
      </c>
      <c r="B38" s="3" t="inlineStr">
        <is>
          <t>Fate/stay night Movie: Heaven's Feel - II. Lost Butterfly</t>
        </is>
      </c>
      <c r="C38" s="4" t="inlineStr">
        <is>
          <t>Movie</t>
        </is>
      </c>
      <c r="D38" s="5" t="n">
        <v>1</v>
      </c>
      <c r="E38" s="5" t="n">
        <v>1</v>
      </c>
      <c r="F38" s="6">
        <f>IF(D38&gt;0, E38/D38, IF(H38="Completed", 1, 0))</f>
        <v/>
      </c>
      <c r="G38" s="2" t="n">
        <v>8</v>
      </c>
      <c r="H38" s="4" t="inlineStr">
        <is>
          <t>Completed</t>
        </is>
      </c>
      <c r="I38" s="3" t="inlineStr">
        <is>
          <t>Action, Fantasy, Psychological, Romance, Supernatural, Thriller</t>
        </is>
      </c>
      <c r="J38" s="3" t="inlineStr">
        <is>
          <t>ufotable</t>
        </is>
      </c>
      <c r="K38" s="7" t="n">
        <v>8.4</v>
      </c>
      <c r="L38" s="8" t="inlineStr">
        <is>
          <t>https://myanimelist.net/anime/33049</t>
        </is>
      </c>
    </row>
    <row r="39" ht="20" customHeight="1">
      <c r="A39" s="9" t="n">
        <v>33050</v>
      </c>
      <c r="B39" s="10" t="inlineStr">
        <is>
          <t>Fate/stay night Movie: Heaven's Feel - III. Spring Song</t>
        </is>
      </c>
      <c r="C39" s="11" t="inlineStr">
        <is>
          <t>Movie</t>
        </is>
      </c>
      <c r="D39" s="12" t="n">
        <v>1</v>
      </c>
      <c r="E39" s="12" t="n">
        <v>1</v>
      </c>
      <c r="F39" s="13">
        <f>IF(D39&gt;0, E39/D39, IF(H39="Completed", 1, 0))</f>
        <v/>
      </c>
      <c r="G39" s="9" t="n">
        <v>9</v>
      </c>
      <c r="H39" s="11" t="inlineStr">
        <is>
          <t>Completed</t>
        </is>
      </c>
      <c r="I39" s="10" t="inlineStr">
        <is>
          <t>Action, Drama, Fantasy, Psychological, Supernatural, Thriller</t>
        </is>
      </c>
      <c r="J39" s="10" t="inlineStr">
        <is>
          <t>ufotable</t>
        </is>
      </c>
      <c r="K39" s="14" t="n">
        <v>8.5</v>
      </c>
      <c r="L39" s="15" t="inlineStr">
        <is>
          <t>https://myanimelist.net/anime/33050</t>
        </is>
      </c>
    </row>
    <row r="40" ht="20" customHeight="1">
      <c r="A40" s="2" t="n">
        <v>22297</v>
      </c>
      <c r="B40" s="3" t="inlineStr">
        <is>
          <t>Fate/stay night: Unlimited Blade Works</t>
        </is>
      </c>
      <c r="C40" s="4" t="inlineStr">
        <is>
          <t>TV</t>
        </is>
      </c>
      <c r="D40" s="5" t="n">
        <v>12</v>
      </c>
      <c r="E40" s="5" t="n">
        <v>12</v>
      </c>
      <c r="F40" s="6">
        <f>IF(D40&gt;0, E40/D40, IF(H40="Completed", 1, 0))</f>
        <v/>
      </c>
      <c r="G40" s="2" t="n">
        <v>8</v>
      </c>
      <c r="H40" s="4" t="inlineStr">
        <is>
          <t>Completed</t>
        </is>
      </c>
      <c r="I40" s="3" t="inlineStr">
        <is>
          <t>Action, Fantasy, Supernatural</t>
        </is>
      </c>
      <c r="J40" s="3" t="inlineStr">
        <is>
          <t>ufotable</t>
        </is>
      </c>
      <c r="K40" s="7" t="n">
        <v>8</v>
      </c>
      <c r="L40" s="8" t="inlineStr">
        <is>
          <t>https://myanimelist.net/anime/22297</t>
        </is>
      </c>
    </row>
    <row r="41" ht="20" customHeight="1">
      <c r="A41" s="9" t="n">
        <v>28701</v>
      </c>
      <c r="B41" s="10" t="inlineStr">
        <is>
          <t>Fate/stay night: Unlimited Blade Works 2nd Season</t>
        </is>
      </c>
      <c r="C41" s="11" t="inlineStr">
        <is>
          <t>TV</t>
        </is>
      </c>
      <c r="D41" s="12" t="n">
        <v>13</v>
      </c>
      <c r="E41" s="12" t="n">
        <v>13</v>
      </c>
      <c r="F41" s="13">
        <f>IF(D41&gt;0, E41/D41, IF(H41="Completed", 1, 0))</f>
        <v/>
      </c>
      <c r="G41" s="9" t="n">
        <v>9</v>
      </c>
      <c r="H41" s="11" t="inlineStr">
        <is>
          <t>Completed</t>
        </is>
      </c>
      <c r="I41" s="10" t="inlineStr">
        <is>
          <t>Action, Drama, Fantasy, Supernatural</t>
        </is>
      </c>
      <c r="J41" s="10" t="inlineStr">
        <is>
          <t>ufotable</t>
        </is>
      </c>
      <c r="K41" s="14" t="n">
        <v>8.199999999999999</v>
      </c>
      <c r="L41" s="15" t="inlineStr">
        <is>
          <t>https://myanimelist.net/anime/28701</t>
        </is>
      </c>
    </row>
    <row r="42" ht="20" customHeight="1">
      <c r="A42" s="2" t="n">
        <v>10087</v>
      </c>
      <c r="B42" s="3" t="inlineStr">
        <is>
          <t>Fate/Zero</t>
        </is>
      </c>
      <c r="C42" s="4" t="inlineStr">
        <is>
          <t>TV</t>
        </is>
      </c>
      <c r="D42" s="5" t="n">
        <v>13</v>
      </c>
      <c r="E42" s="5" t="n">
        <v>13</v>
      </c>
      <c r="F42" s="6">
        <f>IF(D42&gt;0, E42/D42, IF(H42="Completed", 1, 0))</f>
        <v/>
      </c>
      <c r="G42" s="2" t="n">
        <v>8</v>
      </c>
      <c r="H42" s="4" t="inlineStr">
        <is>
          <t>Completed</t>
        </is>
      </c>
      <c r="I42" s="3" t="inlineStr">
        <is>
          <t>Action, Drama, Fantasy, Supernatural</t>
        </is>
      </c>
      <c r="J42" s="3" t="inlineStr">
        <is>
          <t>ufotable</t>
        </is>
      </c>
      <c r="K42" s="7" t="n">
        <v>8.1</v>
      </c>
      <c r="L42" s="8" t="inlineStr">
        <is>
          <t>https://myanimelist.net/anime/10087</t>
        </is>
      </c>
    </row>
    <row r="43" ht="20" customHeight="1">
      <c r="A43" s="9" t="n">
        <v>11741</v>
      </c>
      <c r="B43" s="10" t="inlineStr">
        <is>
          <t>Fate/Zero 2nd Season</t>
        </is>
      </c>
      <c r="C43" s="11" t="inlineStr">
        <is>
          <t>TV</t>
        </is>
      </c>
      <c r="D43" s="12" t="n">
        <v>12</v>
      </c>
      <c r="E43" s="12" t="n">
        <v>12</v>
      </c>
      <c r="F43" s="13">
        <f>IF(D43&gt;0, E43/D43, IF(H43="Completed", 1, 0))</f>
        <v/>
      </c>
      <c r="G43" s="9" t="n">
        <v>9</v>
      </c>
      <c r="H43" s="11" t="inlineStr">
        <is>
          <t>Completed</t>
        </is>
      </c>
      <c r="I43" s="10" t="inlineStr">
        <is>
          <t>Action, Drama, Fantasy, Supernatural</t>
        </is>
      </c>
      <c r="J43" s="10" t="inlineStr">
        <is>
          <t>ufotable</t>
        </is>
      </c>
      <c r="K43" s="14" t="n">
        <v>8.4</v>
      </c>
      <c r="L43" s="15" t="inlineStr">
        <is>
          <t>https://myanimelist.net/anime/11741</t>
        </is>
      </c>
    </row>
    <row r="44" ht="20" customHeight="1">
      <c r="A44" s="2" t="n">
        <v>5114</v>
      </c>
      <c r="B44" s="3" t="inlineStr">
        <is>
          <t>Fullmetal Alchemist: Brotherhood</t>
        </is>
      </c>
      <c r="C44" s="4" t="inlineStr">
        <is>
          <t>TV</t>
        </is>
      </c>
      <c r="D44" s="5" t="n">
        <v>64</v>
      </c>
      <c r="E44" s="5" t="n">
        <v>20</v>
      </c>
      <c r="F44" s="6">
        <f>IF(D44&gt;0, E44/D44, IF(H44="Completed", 1, 0))</f>
        <v/>
      </c>
      <c r="G44" s="2" t="n">
        <v>7</v>
      </c>
      <c r="H44" s="4" t="inlineStr">
        <is>
          <t>Dropped</t>
        </is>
      </c>
      <c r="I44" s="3" t="inlineStr">
        <is>
          <t>Action, Adventure, Drama, Fantasy</t>
        </is>
      </c>
      <c r="J44" s="3" t="inlineStr">
        <is>
          <t>bones</t>
        </is>
      </c>
      <c r="K44" s="7" t="n">
        <v>9</v>
      </c>
      <c r="L44" s="8" t="inlineStr">
        <is>
          <t>https://myanimelist.net/anime/5114</t>
        </is>
      </c>
    </row>
    <row r="45" ht="20" customHeight="1">
      <c r="A45" s="9" t="n">
        <v>41025</v>
      </c>
      <c r="B45" s="10" t="inlineStr">
        <is>
          <t>Fumetsu no Anata e</t>
        </is>
      </c>
      <c r="C45" s="11" t="inlineStr">
        <is>
          <t>TV</t>
        </is>
      </c>
      <c r="D45" s="12" t="n">
        <v>20</v>
      </c>
      <c r="E45" s="12" t="n">
        <v>20</v>
      </c>
      <c r="F45" s="13">
        <f>IF(D45&gt;0, E45/D45, IF(H45="Completed", 1, 0))</f>
        <v/>
      </c>
      <c r="G45" s="9" t="n">
        <v>8</v>
      </c>
      <c r="H45" s="11" t="inlineStr">
        <is>
          <t>Completed</t>
        </is>
      </c>
      <c r="I45" s="10" t="inlineStr">
        <is>
          <t>Adventure, Drama, Fantasy, Psychological, Supernatural</t>
        </is>
      </c>
      <c r="J45" s="10" t="inlineStr">
        <is>
          <t>Brain's Base</t>
        </is>
      </c>
      <c r="K45" s="14" t="n">
        <v>8.1</v>
      </c>
      <c r="L45" s="15" t="inlineStr">
        <is>
          <t>https://myanimelist.net/anime/41025</t>
        </is>
      </c>
    </row>
    <row r="46" ht="20" customHeight="1">
      <c r="A46" s="2" t="n">
        <v>50425</v>
      </c>
      <c r="B46" s="3" t="inlineStr">
        <is>
          <t>Fuufu Ijou, Koibito Miman.</t>
        </is>
      </c>
      <c r="C46" s="4" t="inlineStr">
        <is>
          <t>TV</t>
        </is>
      </c>
      <c r="D46" s="5" t="n">
        <v>12</v>
      </c>
      <c r="E46" s="5" t="n">
        <v>12</v>
      </c>
      <c r="F46" s="6">
        <f>IF(D46&gt;0, E46/D46, IF(H46="Completed", 1, 0))</f>
        <v/>
      </c>
      <c r="G46" s="2" t="n">
        <v>8</v>
      </c>
      <c r="H46" s="4" t="inlineStr">
        <is>
          <t>Completed</t>
        </is>
      </c>
      <c r="I46" s="3" t="inlineStr">
        <is>
          <t>Comedy, Drama, Ecchi, Romance</t>
        </is>
      </c>
      <c r="J46" s="3" t="inlineStr">
        <is>
          <t>studio MOTHER</t>
        </is>
      </c>
      <c r="K46" s="7" t="n">
        <v>7.6</v>
      </c>
      <c r="L46" s="8" t="inlineStr">
        <is>
          <t>https://myanimelist.net/anime/50425</t>
        </is>
      </c>
    </row>
    <row r="47" ht="20" customHeight="1">
      <c r="A47" s="9" t="n">
        <v>918</v>
      </c>
      <c r="B47" s="10" t="inlineStr">
        <is>
          <t>Gintama</t>
        </is>
      </c>
      <c r="C47" s="11" t="inlineStr">
        <is>
          <t>TV</t>
        </is>
      </c>
      <c r="D47" s="12" t="n">
        <v>201</v>
      </c>
      <c r="E47" s="12" t="n">
        <v>201</v>
      </c>
      <c r="F47" s="13">
        <f>IF(D47&gt;0, E47/D47, IF(H47="Completed", 1, 0))</f>
        <v/>
      </c>
      <c r="G47" s="9" t="n">
        <v>9</v>
      </c>
      <c r="H47" s="11" t="inlineStr">
        <is>
          <t>Completed</t>
        </is>
      </c>
      <c r="I47" s="10" t="inlineStr">
        <is>
          <t>Action, Comedy, Drama, Sci-Fi</t>
        </is>
      </c>
      <c r="J47" s="10" t="inlineStr">
        <is>
          <t>Sunrise</t>
        </is>
      </c>
      <c r="K47" s="14" t="n">
        <v>8.5</v>
      </c>
      <c r="L47" s="15" t="inlineStr">
        <is>
          <t>https://myanimelist.net/anime/918</t>
        </is>
      </c>
    </row>
    <row r="48" ht="20" customHeight="1">
      <c r="A48" s="2" t="n">
        <v>15335</v>
      </c>
      <c r="B48" s="3" t="inlineStr">
        <is>
          <t>Gintama Movie 2: Kanketsu-hen - Yorozuya yo Eien Nare</t>
        </is>
      </c>
      <c r="C48" s="4" t="inlineStr">
        <is>
          <t>Movie</t>
        </is>
      </c>
      <c r="D48" s="5" t="n">
        <v>1</v>
      </c>
      <c r="E48" s="5" t="n">
        <v>1</v>
      </c>
      <c r="F48" s="6">
        <f>IF(D48&gt;0, E48/D48, IF(H48="Completed", 1, 0))</f>
        <v/>
      </c>
      <c r="G48" s="2" t="n">
        <v>7</v>
      </c>
      <c r="H48" s="4" t="inlineStr">
        <is>
          <t>Completed</t>
        </is>
      </c>
      <c r="I48" s="3" t="inlineStr">
        <is>
          <t>Action, Comedy, Sci-Fi</t>
        </is>
      </c>
      <c r="J48" s="3" t="inlineStr">
        <is>
          <t>Sunrise</t>
        </is>
      </c>
      <c r="K48" s="7" t="n">
        <v>8.699999999999999</v>
      </c>
      <c r="L48" s="8" t="inlineStr">
        <is>
          <t>https://myanimelist.net/anime/15335</t>
        </is>
      </c>
    </row>
    <row r="49" ht="20" customHeight="1">
      <c r="A49" s="9" t="n">
        <v>9969</v>
      </c>
      <c r="B49" s="10" t="inlineStr">
        <is>
          <t>Gintama'</t>
        </is>
      </c>
      <c r="C49" s="11" t="inlineStr">
        <is>
          <t>TV</t>
        </is>
      </c>
      <c r="D49" s="12" t="n">
        <v>51</v>
      </c>
      <c r="E49" s="12" t="n">
        <v>51</v>
      </c>
      <c r="F49" s="13">
        <f>IF(D49&gt;0, E49/D49, IF(H49="Completed", 1, 0))</f>
        <v/>
      </c>
      <c r="G49" s="9" t="n">
        <v>9</v>
      </c>
      <c r="H49" s="11" t="inlineStr">
        <is>
          <t>Completed</t>
        </is>
      </c>
      <c r="I49" s="10" t="inlineStr">
        <is>
          <t>Action, Comedy, Drama, Sci-Fi</t>
        </is>
      </c>
      <c r="J49" s="10" t="inlineStr">
        <is>
          <t>Sunrise</t>
        </is>
      </c>
      <c r="K49" s="14" t="n">
        <v>8.9</v>
      </c>
      <c r="L49" s="15" t="inlineStr">
        <is>
          <t>https://myanimelist.net/anime/9969</t>
        </is>
      </c>
    </row>
    <row r="50" ht="20" customHeight="1">
      <c r="A50" s="2" t="n">
        <v>15417</v>
      </c>
      <c r="B50" s="3" t="inlineStr">
        <is>
          <t>Gintama': Enchousen</t>
        </is>
      </c>
      <c r="C50" s="4" t="inlineStr">
        <is>
          <t>TV</t>
        </is>
      </c>
      <c r="D50" s="5" t="n">
        <v>13</v>
      </c>
      <c r="E50" s="5" t="n">
        <v>13</v>
      </c>
      <c r="F50" s="6">
        <f>IF(D50&gt;0, E50/D50, IF(H50="Completed", 1, 0))</f>
        <v/>
      </c>
      <c r="G50" s="2" t="n">
        <v>9</v>
      </c>
      <c r="H50" s="4" t="inlineStr">
        <is>
          <t>Completed</t>
        </is>
      </c>
      <c r="I50" s="3" t="inlineStr">
        <is>
          <t>Action, Comedy, Drama, Sci-Fi</t>
        </is>
      </c>
      <c r="J50" s="3" t="inlineStr">
        <is>
          <t>Sunrise</t>
        </is>
      </c>
      <c r="K50" s="7" t="n">
        <v>8.9</v>
      </c>
      <c r="L50" s="8" t="inlineStr">
        <is>
          <t>https://myanimelist.net/anime/15417</t>
        </is>
      </c>
    </row>
    <row r="51" ht="20" customHeight="1">
      <c r="A51" s="9" t="n">
        <v>34096</v>
      </c>
      <c r="B51" s="10" t="inlineStr">
        <is>
          <t>Gintama.</t>
        </is>
      </c>
      <c r="C51" s="11" t="inlineStr">
        <is>
          <t>TV</t>
        </is>
      </c>
      <c r="D51" s="12" t="n">
        <v>12</v>
      </c>
      <c r="E51" s="12" t="n">
        <v>12</v>
      </c>
      <c r="F51" s="13">
        <f>IF(D51&gt;0, E51/D51, IF(H51="Completed", 1, 0))</f>
        <v/>
      </c>
      <c r="G51" s="9" t="n">
        <v>9</v>
      </c>
      <c r="H51" s="11" t="inlineStr">
        <is>
          <t>Completed</t>
        </is>
      </c>
      <c r="I51" s="10" t="inlineStr">
        <is>
          <t>Action, Comedy, Drama, Sci-Fi</t>
        </is>
      </c>
      <c r="J51" s="10" t="inlineStr">
        <is>
          <t>Bandai Namco Pictures</t>
        </is>
      </c>
      <c r="K51" s="14" t="n">
        <v>8.800000000000001</v>
      </c>
      <c r="L51" s="15" t="inlineStr">
        <is>
          <t>https://myanimelist.net/anime/34096</t>
        </is>
      </c>
    </row>
    <row r="52" ht="20" customHeight="1">
      <c r="A52" s="2" t="n">
        <v>36838</v>
      </c>
      <c r="B52" s="3" t="inlineStr">
        <is>
          <t>Gintama. Shirogane no Tamashii-hen</t>
        </is>
      </c>
      <c r="C52" s="4" t="inlineStr">
        <is>
          <t>TV</t>
        </is>
      </c>
      <c r="D52" s="5" t="n">
        <v>12</v>
      </c>
      <c r="E52" s="5" t="n">
        <v>12</v>
      </c>
      <c r="F52" s="6">
        <f>IF(D52&gt;0, E52/D52, IF(H52="Completed", 1, 0))</f>
        <v/>
      </c>
      <c r="G52" s="2" t="n">
        <v>8</v>
      </c>
      <c r="H52" s="4" t="inlineStr">
        <is>
          <t>Completed</t>
        </is>
      </c>
      <c r="I52" s="3" t="inlineStr">
        <is>
          <t>Action, Comedy, Drama, Sci-Fi</t>
        </is>
      </c>
      <c r="J52" s="3" t="inlineStr">
        <is>
          <t>Bandai Namco Pictures</t>
        </is>
      </c>
      <c r="K52" s="7" t="n">
        <v>8.6</v>
      </c>
      <c r="L52" s="8" t="inlineStr">
        <is>
          <t>https://myanimelist.net/anime/36838</t>
        </is>
      </c>
    </row>
    <row r="53" ht="20" customHeight="1">
      <c r="A53" s="9" t="n">
        <v>37491</v>
      </c>
      <c r="B53" s="10" t="inlineStr">
        <is>
          <t>Gintama. Shirogane no Tamashii-hen - Kouhan-sen</t>
        </is>
      </c>
      <c r="C53" s="11" t="inlineStr">
        <is>
          <t>TV</t>
        </is>
      </c>
      <c r="D53" s="12" t="n">
        <v>14</v>
      </c>
      <c r="E53" s="12" t="n">
        <v>14</v>
      </c>
      <c r="F53" s="13">
        <f>IF(D53&gt;0, E53/D53, IF(H53="Completed", 1, 0))</f>
        <v/>
      </c>
      <c r="G53" s="9" t="n">
        <v>8</v>
      </c>
      <c r="H53" s="11" t="inlineStr">
        <is>
          <t>Completed</t>
        </is>
      </c>
      <c r="I53" s="10" t="inlineStr">
        <is>
          <t>Action, Comedy, Drama, Sci-Fi</t>
        </is>
      </c>
      <c r="J53" s="10" t="inlineStr">
        <is>
          <t>Bandai Namco Pictures</t>
        </is>
      </c>
      <c r="K53" s="14" t="n">
        <v>8.699999999999999</v>
      </c>
      <c r="L53" s="15" t="inlineStr">
        <is>
          <t>https://myanimelist.net/anime/37491</t>
        </is>
      </c>
    </row>
    <row r="54" ht="20" customHeight="1">
      <c r="A54" s="2" t="n">
        <v>44087</v>
      </c>
      <c r="B54" s="3" t="inlineStr">
        <is>
          <t>Gintama: The Semi-Final</t>
        </is>
      </c>
      <c r="C54" s="4" t="inlineStr">
        <is>
          <t>Special</t>
        </is>
      </c>
      <c r="D54" s="5" t="n">
        <v>2</v>
      </c>
      <c r="E54" s="5" t="n">
        <v>2</v>
      </c>
      <c r="F54" s="6">
        <f>IF(D54&gt;0, E54/D54, IF(H54="Completed", 1, 0))</f>
        <v/>
      </c>
      <c r="G54" s="2" t="n">
        <v>8</v>
      </c>
      <c r="H54" s="4" t="inlineStr">
        <is>
          <t>Completed</t>
        </is>
      </c>
      <c r="I54" s="3" t="inlineStr">
        <is>
          <t>Action, Comedy</t>
        </is>
      </c>
      <c r="J54" s="3" t="inlineStr">
        <is>
          <t>Bandai Namco Pictures</t>
        </is>
      </c>
      <c r="K54" s="7" t="n">
        <v>8.300000000000001</v>
      </c>
      <c r="L54" s="8" t="inlineStr">
        <is>
          <t>https://myanimelist.net/anime/44087</t>
        </is>
      </c>
    </row>
    <row r="55" ht="20" customHeight="1">
      <c r="A55" s="9" t="n">
        <v>28977</v>
      </c>
      <c r="B55" s="10" t="inlineStr">
        <is>
          <t>Gintama°</t>
        </is>
      </c>
      <c r="C55" s="11" t="inlineStr">
        <is>
          <t>TV</t>
        </is>
      </c>
      <c r="D55" s="12" t="n">
        <v>51</v>
      </c>
      <c r="E55" s="12" t="n">
        <v>51</v>
      </c>
      <c r="F55" s="13">
        <f>IF(D55&gt;0, E55/D55, IF(H55="Completed", 1, 0))</f>
        <v/>
      </c>
      <c r="G55" s="9" t="n">
        <v>9</v>
      </c>
      <c r="H55" s="11" t="inlineStr">
        <is>
          <t>Completed</t>
        </is>
      </c>
      <c r="I55" s="10" t="inlineStr">
        <is>
          <t>Action, Comedy, Drama, Sci-Fi</t>
        </is>
      </c>
      <c r="J55" s="10" t="inlineStr">
        <is>
          <t>Bandai Namco Pictures</t>
        </is>
      </c>
      <c r="K55" s="14" t="n">
        <v>9</v>
      </c>
      <c r="L55" s="15" t="inlineStr">
        <is>
          <t>https://myanimelist.net/anime/28977</t>
        </is>
      </c>
    </row>
    <row r="56" ht="20" customHeight="1">
      <c r="A56" s="2" t="n">
        <v>17895</v>
      </c>
      <c r="B56" s="3" t="inlineStr">
        <is>
          <t>Golden Time</t>
        </is>
      </c>
      <c r="C56" s="4" t="inlineStr">
        <is>
          <t>TV</t>
        </is>
      </c>
      <c r="D56" s="5" t="n">
        <v>24</v>
      </c>
      <c r="E56" s="5" t="n">
        <v>24</v>
      </c>
      <c r="F56" s="6">
        <f>IF(D56&gt;0, E56/D56, IF(H56="Completed", 1, 0))</f>
        <v/>
      </c>
      <c r="G56" s="2" t="n">
        <v>8</v>
      </c>
      <c r="H56" s="4" t="inlineStr">
        <is>
          <t>Completed</t>
        </is>
      </c>
      <c r="I56" s="3" t="inlineStr">
        <is>
          <t>Drama, Romance</t>
        </is>
      </c>
      <c r="J56" s="3" t="inlineStr">
        <is>
          <t>J.C.STAFF</t>
        </is>
      </c>
      <c r="K56" s="7" t="n">
        <v>7.5</v>
      </c>
      <c r="L56" s="8" t="inlineStr">
        <is>
          <t>https://myanimelist.net/anime/17895</t>
        </is>
      </c>
    </row>
    <row r="57" ht="20" customHeight="1">
      <c r="A57" s="9" t="n">
        <v>37105</v>
      </c>
      <c r="B57" s="10" t="inlineStr">
        <is>
          <t>Grand Blue</t>
        </is>
      </c>
      <c r="C57" s="11" t="inlineStr">
        <is>
          <t>TV</t>
        </is>
      </c>
      <c r="D57" s="12" t="n">
        <v>12</v>
      </c>
      <c r="E57" s="12" t="n">
        <v>12</v>
      </c>
      <c r="F57" s="13">
        <f>IF(D57&gt;0, E57/D57, IF(H57="Completed", 1, 0))</f>
        <v/>
      </c>
      <c r="G57" s="9" t="n">
        <v>9</v>
      </c>
      <c r="H57" s="11" t="inlineStr">
        <is>
          <t>Completed</t>
        </is>
      </c>
      <c r="I57" s="10" t="inlineStr">
        <is>
          <t>Comedy, Slice of Life, Sports</t>
        </is>
      </c>
      <c r="J57" s="10" t="inlineStr">
        <is>
          <t>Zero-G</t>
        </is>
      </c>
      <c r="K57" s="14" t="n">
        <v>8.199999999999999</v>
      </c>
      <c r="L57" s="15" t="inlineStr">
        <is>
          <t>https://myanimelist.net/anime/37105</t>
        </is>
      </c>
    </row>
    <row r="58" ht="20" customHeight="1">
      <c r="A58" s="2" t="n">
        <v>245</v>
      </c>
      <c r="B58" s="3" t="inlineStr">
        <is>
          <t>Great Teacher Onizuka</t>
        </is>
      </c>
      <c r="C58" s="4" t="inlineStr">
        <is>
          <t>TV</t>
        </is>
      </c>
      <c r="D58" s="5" t="n">
        <v>43</v>
      </c>
      <c r="E58" s="5" t="n">
        <v>0</v>
      </c>
      <c r="F58" s="6">
        <f>IF(D58&gt;0, E58/D58, IF(H58="Completed", 1, 0))</f>
        <v/>
      </c>
      <c r="G58" s="2" t="n">
        <v>0</v>
      </c>
      <c r="H58" s="4" t="inlineStr">
        <is>
          <t>Plan to Watch</t>
        </is>
      </c>
      <c r="I58" s="3" t="inlineStr">
        <is>
          <t>Comedy, Drama, Slice of Life</t>
        </is>
      </c>
      <c r="J58" s="3" t="inlineStr">
        <is>
          <t>Studio Pierrot</t>
        </is>
      </c>
      <c r="K58" s="7" t="n">
        <v>8.4</v>
      </c>
      <c r="L58" s="8" t="inlineStr">
        <is>
          <t>https://myanimelist.net/anime/245</t>
        </is>
      </c>
    </row>
    <row r="59" ht="20" customHeight="1">
      <c r="A59" s="9" t="n">
        <v>15809</v>
      </c>
      <c r="B59" s="10" t="inlineStr">
        <is>
          <t>Hataraku Maou-sama!</t>
        </is>
      </c>
      <c r="C59" s="11" t="inlineStr">
        <is>
          <t>TV</t>
        </is>
      </c>
      <c r="D59" s="12" t="n">
        <v>13</v>
      </c>
      <c r="E59" s="12" t="n">
        <v>13</v>
      </c>
      <c r="F59" s="13">
        <f>IF(D59&gt;0, E59/D59, IF(H59="Completed", 1, 0))</f>
        <v/>
      </c>
      <c r="G59" s="9" t="n">
        <v>8</v>
      </c>
      <c r="H59" s="11" t="inlineStr">
        <is>
          <t>Completed</t>
        </is>
      </c>
      <c r="I59" s="10" t="inlineStr">
        <is>
          <t>Comedy, Fantasy, Romance, Slice of Life</t>
        </is>
      </c>
      <c r="J59" s="10" t="inlineStr">
        <is>
          <t>WHITE FOX</t>
        </is>
      </c>
      <c r="K59" s="14" t="n">
        <v>7.5</v>
      </c>
      <c r="L59" s="15" t="inlineStr">
        <is>
          <t>https://myanimelist.net/anime/15809</t>
        </is>
      </c>
    </row>
    <row r="60" ht="20" customHeight="1">
      <c r="A60" s="2" t="n">
        <v>40938</v>
      </c>
      <c r="B60" s="3" t="inlineStr">
        <is>
          <t>Hige wo Soru. Soshite Joshikousei wo Hirou.</t>
        </is>
      </c>
      <c r="C60" s="4" t="inlineStr">
        <is>
          <t>TV</t>
        </is>
      </c>
      <c r="D60" s="5" t="n">
        <v>13</v>
      </c>
      <c r="E60" s="5" t="n">
        <v>13</v>
      </c>
      <c r="F60" s="6">
        <f>IF(D60&gt;0, E60/D60, IF(H60="Completed", 1, 0))</f>
        <v/>
      </c>
      <c r="G60" s="2" t="n">
        <v>6</v>
      </c>
      <c r="H60" s="4" t="inlineStr">
        <is>
          <t>Completed</t>
        </is>
      </c>
      <c r="I60" s="3" t="inlineStr">
        <is>
          <t>Drama, Romance, Slice of Life</t>
        </is>
      </c>
      <c r="J60" s="3" t="inlineStr">
        <is>
          <t>project No.9</t>
        </is>
      </c>
      <c r="K60" s="7" t="n">
        <v>7</v>
      </c>
      <c r="L60" s="8" t="inlineStr">
        <is>
          <t>https://myanimelist.net/anime/40938</t>
        </is>
      </c>
    </row>
    <row r="61" ht="20" customHeight="1">
      <c r="A61" s="9" t="n">
        <v>28825</v>
      </c>
      <c r="B61" s="10" t="inlineStr">
        <is>
          <t>Himouto! Umaru-chan</t>
        </is>
      </c>
      <c r="C61" s="11" t="inlineStr">
        <is>
          <t>TV</t>
        </is>
      </c>
      <c r="D61" s="12" t="n">
        <v>12</v>
      </c>
      <c r="E61" s="12" t="n">
        <v>12</v>
      </c>
      <c r="F61" s="13">
        <f>IF(D61&gt;0, E61/D61, IF(H61="Completed", 1, 0))</f>
        <v/>
      </c>
      <c r="G61" s="9" t="n">
        <v>6</v>
      </c>
      <c r="H61" s="11" t="inlineStr">
        <is>
          <t>Completed</t>
        </is>
      </c>
      <c r="I61" s="10" t="inlineStr">
        <is>
          <t>Comedy, Slice of Life</t>
        </is>
      </c>
      <c r="J61" s="10" t="inlineStr">
        <is>
          <t>Doga Kobo</t>
        </is>
      </c>
      <c r="K61" s="14" t="n">
        <v>6.8</v>
      </c>
      <c r="L61" s="15" t="inlineStr">
        <is>
          <t>https://myanimelist.net/anime/28825</t>
        </is>
      </c>
    </row>
    <row r="62" ht="20" customHeight="1">
      <c r="A62" s="2" t="n">
        <v>35376</v>
      </c>
      <c r="B62" s="3" t="inlineStr">
        <is>
          <t>Himouto! Umaru-chan R</t>
        </is>
      </c>
      <c r="C62" s="4" t="inlineStr">
        <is>
          <t>TV</t>
        </is>
      </c>
      <c r="D62" s="5" t="n">
        <v>12</v>
      </c>
      <c r="E62" s="5" t="n">
        <v>12</v>
      </c>
      <c r="F62" s="6">
        <f>IF(D62&gt;0, E62/D62, IF(H62="Completed", 1, 0))</f>
        <v/>
      </c>
      <c r="G62" s="2" t="n">
        <v>6</v>
      </c>
      <c r="H62" s="4" t="inlineStr">
        <is>
          <t>Completed</t>
        </is>
      </c>
      <c r="I62" s="3" t="inlineStr">
        <is>
          <t>Comedy, Slice of Life</t>
        </is>
      </c>
      <c r="J62" s="3" t="inlineStr">
        <is>
          <t>Doga Kobo</t>
        </is>
      </c>
      <c r="K62" s="7" t="n">
        <v>7.1</v>
      </c>
      <c r="L62" s="8" t="inlineStr">
        <is>
          <t>https://myanimelist.net/anime/35376</t>
        </is>
      </c>
    </row>
    <row r="63" ht="20" customHeight="1">
      <c r="A63" s="9" t="n">
        <v>36296</v>
      </c>
      <c r="B63" s="10" t="inlineStr">
        <is>
          <t>Hinamatsuri</t>
        </is>
      </c>
      <c r="C63" s="11" t="inlineStr">
        <is>
          <t>TV</t>
        </is>
      </c>
      <c r="D63" s="12" t="n">
        <v>12</v>
      </c>
      <c r="E63" s="12" t="n">
        <v>12</v>
      </c>
      <c r="F63" s="13">
        <f>IF(D63&gt;0, E63/D63, IF(H63="Completed", 1, 0))</f>
        <v/>
      </c>
      <c r="G63" s="9" t="n">
        <v>8</v>
      </c>
      <c r="H63" s="11" t="inlineStr">
        <is>
          <t>Completed</t>
        </is>
      </c>
      <c r="I63" s="10" t="inlineStr">
        <is>
          <t>Comedy, Sci-Fi, Slice of Life, Supernatural</t>
        </is>
      </c>
      <c r="J63" s="10" t="inlineStr">
        <is>
          <t>feel.</t>
        </is>
      </c>
      <c r="K63" s="14" t="n">
        <v>8</v>
      </c>
      <c r="L63" s="15" t="inlineStr">
        <is>
          <t>https://myanimelist.net/anime/36296</t>
        </is>
      </c>
    </row>
    <row r="64" ht="20" customHeight="1">
      <c r="A64" s="2" t="n">
        <v>42897</v>
      </c>
      <c r="B64" s="3" t="inlineStr">
        <is>
          <t>Horimiya</t>
        </is>
      </c>
      <c r="C64" s="4" t="inlineStr">
        <is>
          <t>TV</t>
        </is>
      </c>
      <c r="D64" s="5" t="n">
        <v>13</v>
      </c>
      <c r="E64" s="5" t="n">
        <v>13</v>
      </c>
      <c r="F64" s="6">
        <f>IF(D64&gt;0, E64/D64, IF(H64="Completed", 1, 0))</f>
        <v/>
      </c>
      <c r="G64" s="2" t="n">
        <v>7</v>
      </c>
      <c r="H64" s="4" t="inlineStr">
        <is>
          <t>Completed</t>
        </is>
      </c>
      <c r="I64" s="3" t="inlineStr">
        <is>
          <t>Comedy, Romance, Slice of Life</t>
        </is>
      </c>
      <c r="J64" s="3" t="inlineStr">
        <is>
          <t>CloverWorks</t>
        </is>
      </c>
      <c r="K64" s="7" t="n">
        <v>8.1</v>
      </c>
      <c r="L64" s="8" t="inlineStr">
        <is>
          <t>https://myanimelist.net/anime/42897</t>
        </is>
      </c>
    </row>
    <row r="65" ht="20" customHeight="1">
      <c r="A65" s="9" t="n">
        <v>578</v>
      </c>
      <c r="B65" s="10" t="inlineStr">
        <is>
          <t>Hotaru no Haka</t>
        </is>
      </c>
      <c r="C65" s="11" t="inlineStr">
        <is>
          <t>Movie</t>
        </is>
      </c>
      <c r="D65" s="12" t="n">
        <v>1</v>
      </c>
      <c r="E65" s="12" t="n">
        <v>1</v>
      </c>
      <c r="F65" s="13">
        <f>IF(D65&gt;0, E65/D65, IF(H65="Completed", 1, 0))</f>
        <v/>
      </c>
      <c r="G65" s="9" t="n">
        <v>9</v>
      </c>
      <c r="H65" s="11" t="inlineStr">
        <is>
          <t>Completed</t>
        </is>
      </c>
      <c r="I65" s="10" t="inlineStr">
        <is>
          <t>Drama</t>
        </is>
      </c>
      <c r="J65" s="10" t="inlineStr">
        <is>
          <t>Studio Ghibli</t>
        </is>
      </c>
      <c r="K65" s="14" t="n">
        <v>8.300000000000001</v>
      </c>
      <c r="L65" s="15" t="inlineStr">
        <is>
          <t>https://myanimelist.net/anime/578</t>
        </is>
      </c>
    </row>
    <row r="66" ht="20" customHeight="1">
      <c r="A66" s="2" t="n">
        <v>10408</v>
      </c>
      <c r="B66" s="3" t="inlineStr">
        <is>
          <t>Hotarubi no Mori e</t>
        </is>
      </c>
      <c r="C66" s="4" t="inlineStr">
        <is>
          <t>Movie</t>
        </is>
      </c>
      <c r="D66" s="5" t="n">
        <v>1</v>
      </c>
      <c r="E66" s="5" t="n">
        <v>1</v>
      </c>
      <c r="F66" s="6">
        <f>IF(D66&gt;0, E66/D66, IF(H66="Completed", 1, 0))</f>
        <v/>
      </c>
      <c r="G66" s="2" t="n">
        <v>7</v>
      </c>
      <c r="H66" s="4" t="inlineStr">
        <is>
          <t>Completed</t>
        </is>
      </c>
      <c r="I66" s="3" t="inlineStr">
        <is>
          <t>Drama, Fantasy, Romance, Supernatural</t>
        </is>
      </c>
      <c r="J66" s="3" t="inlineStr">
        <is>
          <t>Brain's Base</t>
        </is>
      </c>
      <c r="K66" s="7" t="n">
        <v>8</v>
      </c>
      <c r="L66" s="8" t="inlineStr">
        <is>
          <t>https://myanimelist.net/anime/10408</t>
        </is>
      </c>
    </row>
    <row r="67" ht="20" customHeight="1">
      <c r="A67" s="9" t="n">
        <v>11061</v>
      </c>
      <c r="B67" s="10" t="inlineStr">
        <is>
          <t>Hunter x Hunter (2011)</t>
        </is>
      </c>
      <c r="C67" s="11" t="inlineStr">
        <is>
          <t>TV</t>
        </is>
      </c>
      <c r="D67" s="12" t="n">
        <v>148</v>
      </c>
      <c r="E67" s="12" t="n">
        <v>148</v>
      </c>
      <c r="F67" s="13">
        <f>IF(D67&gt;0, E67/D67, IF(H67="Completed", 1, 0))</f>
        <v/>
      </c>
      <c r="G67" s="9" t="n">
        <v>9</v>
      </c>
      <c r="H67" s="11" t="inlineStr">
        <is>
          <t>Completed</t>
        </is>
      </c>
      <c r="I67" s="10" t="inlineStr">
        <is>
          <t>Action, Adventure, Fantasy</t>
        </is>
      </c>
      <c r="J67" s="10" t="inlineStr">
        <is>
          <t>MADHOUSE</t>
        </is>
      </c>
      <c r="K67" s="14" t="n">
        <v>8.9</v>
      </c>
      <c r="L67" s="15" t="inlineStr">
        <is>
          <t>https://myanimelist.net/anime/11061</t>
        </is>
      </c>
    </row>
    <row r="68" ht="20" customHeight="1">
      <c r="A68" s="2" t="n">
        <v>12189</v>
      </c>
      <c r="B68" s="3" t="inlineStr">
        <is>
          <t>Hyouka</t>
        </is>
      </c>
      <c r="C68" s="4" t="inlineStr">
        <is>
          <t>TV</t>
        </is>
      </c>
      <c r="D68" s="5" t="n">
        <v>22</v>
      </c>
      <c r="E68" s="5" t="n">
        <v>22</v>
      </c>
      <c r="F68" s="6">
        <f>IF(D68&gt;0, E68/D68, IF(H68="Completed", 1, 0))</f>
        <v/>
      </c>
      <c r="G68" s="2" t="n">
        <v>6</v>
      </c>
      <c r="H68" s="4" t="inlineStr">
        <is>
          <t>Completed</t>
        </is>
      </c>
      <c r="I68" s="3" t="inlineStr">
        <is>
          <t>Mystery, Romance, Slice of Life</t>
        </is>
      </c>
      <c r="J68" s="3" t="inlineStr">
        <is>
          <t>Kyoto Animation</t>
        </is>
      </c>
      <c r="K68" s="7" t="n">
        <v>7.9</v>
      </c>
      <c r="L68" s="8" t="inlineStr">
        <is>
          <t>https://myanimelist.net/anime/12189</t>
        </is>
      </c>
    </row>
    <row r="69" ht="20" customHeight="1">
      <c r="A69" s="9" t="n">
        <v>21327</v>
      </c>
      <c r="B69" s="10" t="inlineStr">
        <is>
          <t>Isshuukan Friends.</t>
        </is>
      </c>
      <c r="C69" s="11" t="inlineStr">
        <is>
          <t>TV</t>
        </is>
      </c>
      <c r="D69" s="12" t="n">
        <v>12</v>
      </c>
      <c r="E69" s="12" t="n">
        <v>12</v>
      </c>
      <c r="F69" s="13">
        <f>IF(D69&gt;0, E69/D69, IF(H69="Completed", 1, 0))</f>
        <v/>
      </c>
      <c r="G69" s="9" t="n">
        <v>6</v>
      </c>
      <c r="H69" s="11" t="inlineStr">
        <is>
          <t>Completed</t>
        </is>
      </c>
      <c r="I69" s="10" t="inlineStr">
        <is>
          <t>Comedy, Drama, Romance, Slice of Life</t>
        </is>
      </c>
      <c r="J69" s="10" t="inlineStr">
        <is>
          <t>Brain's Base</t>
        </is>
      </c>
      <c r="K69" s="14" t="n">
        <v>7.3</v>
      </c>
      <c r="L69" s="15" t="inlineStr">
        <is>
          <t>https://myanimelist.net/anime/21327</t>
        </is>
      </c>
    </row>
    <row r="70" ht="20" customHeight="1">
      <c r="A70" s="2" t="n">
        <v>40530</v>
      </c>
      <c r="B70" s="3" t="inlineStr">
        <is>
          <t>Jaku-Chara Tomozaki-kun</t>
        </is>
      </c>
      <c r="C70" s="4" t="inlineStr">
        <is>
          <t>TV</t>
        </is>
      </c>
      <c r="D70" s="5" t="n">
        <v>12</v>
      </c>
      <c r="E70" s="5" t="n">
        <v>12</v>
      </c>
      <c r="F70" s="6">
        <f>IF(D70&gt;0, E70/D70, IF(H70="Completed", 1, 0))</f>
        <v/>
      </c>
      <c r="G70" s="2" t="n">
        <v>6</v>
      </c>
      <c r="H70" s="4" t="inlineStr">
        <is>
          <t>Completed</t>
        </is>
      </c>
      <c r="I70" s="3" t="inlineStr">
        <is>
          <t>Comedy, Drama, Romance, Slice of Life</t>
        </is>
      </c>
      <c r="J70" s="3" t="inlineStr">
        <is>
          <t>project No.9</t>
        </is>
      </c>
      <c r="K70" s="7" t="n">
        <v>7</v>
      </c>
      <c r="L70" s="8" t="inlineStr">
        <is>
          <t>https://myanimelist.net/anime/40530</t>
        </is>
      </c>
    </row>
    <row r="71" ht="20" customHeight="1">
      <c r="A71" s="9" t="n">
        <v>40787</v>
      </c>
      <c r="B71" s="10" t="inlineStr">
        <is>
          <t>Josee to Tora to Sakana-tachi</t>
        </is>
      </c>
      <c r="C71" s="11" t="inlineStr">
        <is>
          <t>Movie</t>
        </is>
      </c>
      <c r="D71" s="12" t="n">
        <v>1</v>
      </c>
      <c r="E71" s="12" t="n">
        <v>1</v>
      </c>
      <c r="F71" s="13">
        <f>IF(D71&gt;0, E71/D71, IF(H71="Completed", 1, 0))</f>
        <v/>
      </c>
      <c r="G71" s="9" t="n">
        <v>8</v>
      </c>
      <c r="H71" s="11" t="inlineStr">
        <is>
          <t>Completed</t>
        </is>
      </c>
      <c r="I71" s="10" t="inlineStr">
        <is>
          <t>Drama, Romance, Slice of Life</t>
        </is>
      </c>
      <c r="J71" s="10" t="inlineStr">
        <is>
          <t>bones</t>
        </is>
      </c>
      <c r="K71" s="14" t="n">
        <v>8.300000000000001</v>
      </c>
      <c r="L71" s="15" t="inlineStr">
        <is>
          <t>https://myanimelist.net/anime/40787</t>
        </is>
      </c>
    </row>
    <row r="72" ht="20" customHeight="1">
      <c r="A72" s="2" t="n">
        <v>40748</v>
      </c>
      <c r="B72" s="3" t="inlineStr">
        <is>
          <t>Jujutsu Kaisen</t>
        </is>
      </c>
      <c r="C72" s="4" t="inlineStr">
        <is>
          <t>TV</t>
        </is>
      </c>
      <c r="D72" s="5" t="n">
        <v>24</v>
      </c>
      <c r="E72" s="5" t="n">
        <v>24</v>
      </c>
      <c r="F72" s="6">
        <f>IF(D72&gt;0, E72/D72, IF(H72="Completed", 1, 0))</f>
        <v/>
      </c>
      <c r="G72" s="2" t="n">
        <v>9</v>
      </c>
      <c r="H72" s="4" t="inlineStr">
        <is>
          <t>Completed</t>
        </is>
      </c>
      <c r="I72" s="3" t="inlineStr">
        <is>
          <t>Action, Drama, Supernatural</t>
        </is>
      </c>
      <c r="J72" s="3" t="inlineStr">
        <is>
          <t>MAPPA</t>
        </is>
      </c>
      <c r="K72" s="7" t="n">
        <v>8.4</v>
      </c>
      <c r="L72" s="8" t="inlineStr">
        <is>
          <t>https://myanimelist.net/anime/40748</t>
        </is>
      </c>
    </row>
    <row r="73" ht="20" customHeight="1">
      <c r="A73" s="9" t="n">
        <v>5680</v>
      </c>
      <c r="B73" s="10" t="inlineStr">
        <is>
          <t>K-On!</t>
        </is>
      </c>
      <c r="C73" s="11" t="inlineStr">
        <is>
          <t>TV</t>
        </is>
      </c>
      <c r="D73" s="12" t="n">
        <v>13</v>
      </c>
      <c r="E73" s="12" t="n">
        <v>13</v>
      </c>
      <c r="F73" s="13">
        <f>IF(D73&gt;0, E73/D73, IF(H73="Completed", 1, 0))</f>
        <v/>
      </c>
      <c r="G73" s="9" t="n">
        <v>8</v>
      </c>
      <c r="H73" s="11" t="inlineStr">
        <is>
          <t>Completed</t>
        </is>
      </c>
      <c r="I73" s="10" t="inlineStr">
        <is>
          <t>Comedy, Music, Slice of Life</t>
        </is>
      </c>
      <c r="J73" s="10" t="inlineStr">
        <is>
          <t>Kyoto Animation</t>
        </is>
      </c>
      <c r="K73" s="14" t="n">
        <v>7.8</v>
      </c>
      <c r="L73" s="15" t="inlineStr">
        <is>
          <t>https://myanimelist.net/anime/5680</t>
        </is>
      </c>
    </row>
    <row r="74" ht="20" customHeight="1">
      <c r="A74" s="2" t="n">
        <v>9617</v>
      </c>
      <c r="B74" s="3" t="inlineStr">
        <is>
          <t>K-On! Movie</t>
        </is>
      </c>
      <c r="C74" s="4" t="inlineStr">
        <is>
          <t>Movie</t>
        </is>
      </c>
      <c r="D74" s="5" t="n">
        <v>1</v>
      </c>
      <c r="E74" s="5" t="n">
        <v>1</v>
      </c>
      <c r="F74" s="6">
        <f>IF(D74&gt;0, E74/D74, IF(H74="Completed", 1, 0))</f>
        <v/>
      </c>
      <c r="G74" s="2" t="n">
        <v>8</v>
      </c>
      <c r="H74" s="4" t="inlineStr">
        <is>
          <t>Completed</t>
        </is>
      </c>
      <c r="I74" s="3" t="inlineStr">
        <is>
          <t>Comedy, Music, Slice of Life</t>
        </is>
      </c>
      <c r="J74" s="3" t="inlineStr">
        <is>
          <t>Kyoto Animation</t>
        </is>
      </c>
      <c r="K74" s="7" t="n">
        <v>8.4</v>
      </c>
      <c r="L74" s="8" t="inlineStr">
        <is>
          <t>https://myanimelist.net/anime/9617</t>
        </is>
      </c>
    </row>
    <row r="75" ht="20" customHeight="1">
      <c r="A75" s="9" t="n">
        <v>7791</v>
      </c>
      <c r="B75" s="10" t="inlineStr">
        <is>
          <t>K-On!!</t>
        </is>
      </c>
      <c r="C75" s="11" t="inlineStr">
        <is>
          <t>TV</t>
        </is>
      </c>
      <c r="D75" s="12" t="n">
        <v>26</v>
      </c>
      <c r="E75" s="12" t="n">
        <v>26</v>
      </c>
      <c r="F75" s="13">
        <f>IF(D75&gt;0, E75/D75, IF(H75="Completed", 1, 0))</f>
        <v/>
      </c>
      <c r="G75" s="9" t="n">
        <v>9</v>
      </c>
      <c r="H75" s="11" t="inlineStr">
        <is>
          <t>Completed</t>
        </is>
      </c>
      <c r="I75" s="10" t="inlineStr">
        <is>
          <t>Comedy, Music, Slice of Life</t>
        </is>
      </c>
      <c r="J75" s="10" t="inlineStr">
        <is>
          <t>Kyoto Animation</t>
        </is>
      </c>
      <c r="K75" s="14" t="n">
        <v>8.199999999999999</v>
      </c>
      <c r="L75" s="15" t="inlineStr">
        <is>
          <t>https://myanimelist.net/anime/7791</t>
        </is>
      </c>
    </row>
    <row r="76" ht="20" customHeight="1">
      <c r="A76" s="2" t="n">
        <v>52198</v>
      </c>
      <c r="B76" s="3" t="inlineStr">
        <is>
          <t>Kaguya-sama wa Kokurasetai: First Kiss wa Owaranai</t>
        </is>
      </c>
      <c r="C76" s="4" t="inlineStr">
        <is>
          <t>Movie</t>
        </is>
      </c>
      <c r="D76" s="5" t="n">
        <v>1</v>
      </c>
      <c r="E76" s="5" t="n">
        <v>1</v>
      </c>
      <c r="F76" s="6">
        <f>IF(D76&gt;0, E76/D76, IF(H76="Completed", 1, 0))</f>
        <v/>
      </c>
      <c r="G76" s="2" t="n">
        <v>8</v>
      </c>
      <c r="H76" s="4" t="inlineStr">
        <is>
          <t>Completed</t>
        </is>
      </c>
      <c r="I76" s="3" t="inlineStr">
        <is>
          <t>Comedy, Psychological, Romance, Slice of Life</t>
        </is>
      </c>
      <c r="J76" s="3" t="inlineStr">
        <is>
          <t>A-1 Pictures</t>
        </is>
      </c>
      <c r="K76" s="7" t="n">
        <v>8.699999999999999</v>
      </c>
      <c r="L76" s="8" t="inlineStr">
        <is>
          <t>https://myanimelist.net/anime/52198</t>
        </is>
      </c>
    </row>
    <row r="77" ht="20" customHeight="1">
      <c r="A77" s="9" t="n">
        <v>37999</v>
      </c>
      <c r="B77" s="10" t="inlineStr">
        <is>
          <t>Kaguya-sama wa Kokurasetai: Tensai-tachi no Renai Zunousen</t>
        </is>
      </c>
      <c r="C77" s="11" t="inlineStr">
        <is>
          <t>TV</t>
        </is>
      </c>
      <c r="D77" s="12" t="n">
        <v>12</v>
      </c>
      <c r="E77" s="12" t="n">
        <v>12</v>
      </c>
      <c r="F77" s="13">
        <f>IF(D77&gt;0, E77/D77, IF(H77="Completed", 1, 0))</f>
        <v/>
      </c>
      <c r="G77" s="9" t="n">
        <v>8</v>
      </c>
      <c r="H77" s="11" t="inlineStr">
        <is>
          <t>Completed</t>
        </is>
      </c>
      <c r="I77" s="10" t="inlineStr">
        <is>
          <t>Comedy, Psychological, Romance, Slice of Life</t>
        </is>
      </c>
      <c r="J77" s="10" t="inlineStr">
        <is>
          <t>A-1 Pictures</t>
        </is>
      </c>
      <c r="K77" s="14" t="n">
        <v>8.300000000000001</v>
      </c>
      <c r="L77" s="15" t="inlineStr">
        <is>
          <t>https://myanimelist.net/anime/37999</t>
        </is>
      </c>
    </row>
    <row r="78" ht="20" customHeight="1">
      <c r="A78" s="2" t="n">
        <v>43608</v>
      </c>
      <c r="B78" s="3" t="inlineStr">
        <is>
          <t>Kaguya-sama wa Kokurasetai: Ultra Romantic</t>
        </is>
      </c>
      <c r="C78" s="4" t="inlineStr">
        <is>
          <t>TV</t>
        </is>
      </c>
      <c r="D78" s="5" t="n">
        <v>13</v>
      </c>
      <c r="E78" s="5" t="n">
        <v>13</v>
      </c>
      <c r="F78" s="6">
        <f>IF(D78&gt;0, E78/D78, IF(H78="Completed", 1, 0))</f>
        <v/>
      </c>
      <c r="G78" s="2" t="n">
        <v>10</v>
      </c>
      <c r="H78" s="4" t="inlineStr">
        <is>
          <t>Completed</t>
        </is>
      </c>
      <c r="I78" s="3" t="inlineStr">
        <is>
          <t>Comedy, Psychological, Romance, Slice of Life</t>
        </is>
      </c>
      <c r="J78" s="3" t="inlineStr">
        <is>
          <t>A-1 Pictures</t>
        </is>
      </c>
      <c r="K78" s="7" t="n">
        <v>8.9</v>
      </c>
      <c r="L78" s="8" t="inlineStr">
        <is>
          <t>https://myanimelist.net/anime/43608</t>
        </is>
      </c>
    </row>
    <row r="79" ht="20" customHeight="1">
      <c r="A79" s="9" t="n">
        <v>40591</v>
      </c>
      <c r="B79" s="10" t="inlineStr">
        <is>
          <t>Kaguya-sama wa Kokurasetai? Tensai-tachi no Renai Zunousen</t>
        </is>
      </c>
      <c r="C79" s="11" t="inlineStr">
        <is>
          <t>TV</t>
        </is>
      </c>
      <c r="D79" s="12" t="n">
        <v>12</v>
      </c>
      <c r="E79" s="12" t="n">
        <v>12</v>
      </c>
      <c r="F79" s="13">
        <f>IF(D79&gt;0, E79/D79, IF(H79="Completed", 1, 0))</f>
        <v/>
      </c>
      <c r="G79" s="9" t="n">
        <v>9</v>
      </c>
      <c r="H79" s="11" t="inlineStr">
        <is>
          <t>Completed</t>
        </is>
      </c>
      <c r="I79" s="10" t="inlineStr">
        <is>
          <t>Comedy, Psychological, Romance, Slice of Life</t>
        </is>
      </c>
      <c r="J79" s="10" t="inlineStr">
        <is>
          <t>A-1 Pictures</t>
        </is>
      </c>
      <c r="K79" s="14" t="n">
        <v>8.5</v>
      </c>
      <c r="L79" s="15" t="inlineStr">
        <is>
          <t>https://myanimelist.net/anime/40591</t>
        </is>
      </c>
    </row>
    <row r="80" ht="20" customHeight="1">
      <c r="A80" s="2" t="n">
        <v>34933</v>
      </c>
      <c r="B80" s="3" t="inlineStr">
        <is>
          <t>Kakegurui</t>
        </is>
      </c>
      <c r="C80" s="4" t="inlineStr">
        <is>
          <t>TV</t>
        </is>
      </c>
      <c r="D80" s="5" t="n">
        <v>12</v>
      </c>
      <c r="E80" s="5" t="n">
        <v>12</v>
      </c>
      <c r="F80" s="6">
        <f>IF(D80&gt;0, E80/D80, IF(H80="Completed", 1, 0))</f>
        <v/>
      </c>
      <c r="G80" s="2" t="n">
        <v>7</v>
      </c>
      <c r="H80" s="4" t="inlineStr">
        <is>
          <t>Completed</t>
        </is>
      </c>
      <c r="I80" s="3" t="inlineStr">
        <is>
          <t>Drama, Mystery, Psychological</t>
        </is>
      </c>
      <c r="J80" s="3" t="inlineStr">
        <is>
          <t>MAPPA</t>
        </is>
      </c>
      <c r="K80" s="7" t="n">
        <v>7</v>
      </c>
      <c r="L80" s="8" t="inlineStr">
        <is>
          <t>https://myanimelist.net/anime/34933</t>
        </is>
      </c>
    </row>
    <row r="81" ht="20" customHeight="1">
      <c r="A81" s="9" t="n">
        <v>37086</v>
      </c>
      <c r="B81" s="10" t="inlineStr">
        <is>
          <t>Kakegurui××</t>
        </is>
      </c>
      <c r="C81" s="11" t="inlineStr">
        <is>
          <t>TV</t>
        </is>
      </c>
      <c r="D81" s="12" t="n">
        <v>12</v>
      </c>
      <c r="E81" s="12" t="n">
        <v>12</v>
      </c>
      <c r="F81" s="13">
        <f>IF(D81&gt;0, E81/D81, IF(H81="Completed", 1, 0))</f>
        <v/>
      </c>
      <c r="G81" s="9" t="n">
        <v>7</v>
      </c>
      <c r="H81" s="11" t="inlineStr">
        <is>
          <t>Completed</t>
        </is>
      </c>
      <c r="I81" s="10" t="inlineStr">
        <is>
          <t>Drama, Mystery, Psychological</t>
        </is>
      </c>
      <c r="J81" s="10" t="inlineStr">
        <is>
          <t>MAPPA</t>
        </is>
      </c>
      <c r="K81" s="14" t="n">
        <v>7.1</v>
      </c>
      <c r="L81" s="15" t="inlineStr">
        <is>
          <t>https://myanimelist.net/anime/37086</t>
        </is>
      </c>
    </row>
    <row r="82" ht="20" customHeight="1">
      <c r="A82" s="2" t="n">
        <v>40716</v>
      </c>
      <c r="B82" s="3" t="inlineStr">
        <is>
          <t>Kakushigoto</t>
        </is>
      </c>
      <c r="C82" s="4" t="inlineStr">
        <is>
          <t>TV</t>
        </is>
      </c>
      <c r="D82" s="5" t="n">
        <v>12</v>
      </c>
      <c r="E82" s="5" t="n">
        <v>0</v>
      </c>
      <c r="F82" s="6">
        <f>IF(D82&gt;0, E82/D82, IF(H82="Completed", 1, 0))</f>
        <v/>
      </c>
      <c r="G82" s="2" t="n">
        <v>6</v>
      </c>
      <c r="H82" s="4" t="inlineStr">
        <is>
          <t>Watching</t>
        </is>
      </c>
      <c r="I82" s="3" t="inlineStr">
        <is>
          <t>Comedy, Slice of Life</t>
        </is>
      </c>
      <c r="J82" s="3" t="inlineStr">
        <is>
          <t>Ajiado</t>
        </is>
      </c>
      <c r="K82" s="7" t="n">
        <v>7.8</v>
      </c>
      <c r="L82" s="8" t="inlineStr">
        <is>
          <t>https://myanimelist.net/anime/40716</t>
        </is>
      </c>
    </row>
    <row r="83" ht="20" customHeight="1">
      <c r="A83" s="9" t="n">
        <v>41930</v>
      </c>
      <c r="B83" s="10" t="inlineStr">
        <is>
          <t>Kamisama ni Natta Hi</t>
        </is>
      </c>
      <c r="C83" s="11" t="inlineStr">
        <is>
          <t>TV</t>
        </is>
      </c>
      <c r="D83" s="12" t="n">
        <v>12</v>
      </c>
      <c r="E83" s="12" t="n">
        <v>12</v>
      </c>
      <c r="F83" s="13">
        <f>IF(D83&gt;0, E83/D83, IF(H83="Completed", 1, 0))</f>
        <v/>
      </c>
      <c r="G83" s="9" t="n">
        <v>5</v>
      </c>
      <c r="H83" s="11" t="inlineStr">
        <is>
          <t>Completed</t>
        </is>
      </c>
      <c r="I83" s="10" t="inlineStr">
        <is>
          <t>Comedy, Drama, Romance, Sci-Fi, Slice of Life</t>
        </is>
      </c>
      <c r="J83" s="10" t="inlineStr">
        <is>
          <t>P.A.WORKS</t>
        </is>
      </c>
      <c r="K83" s="14" t="n">
        <v>6.5</v>
      </c>
      <c r="L83" s="15" t="inlineStr">
        <is>
          <t>https://myanimelist.net/anime/41930</t>
        </is>
      </c>
    </row>
    <row r="84" ht="20" customHeight="1">
      <c r="A84" s="2" t="n">
        <v>40839</v>
      </c>
      <c r="B84" s="3" t="inlineStr">
        <is>
          <t>Kanojo, Okarishimasu</t>
        </is>
      </c>
      <c r="C84" s="4" t="inlineStr">
        <is>
          <t>TV</t>
        </is>
      </c>
      <c r="D84" s="5" t="n">
        <v>12</v>
      </c>
      <c r="E84" s="5" t="n">
        <v>12</v>
      </c>
      <c r="F84" s="6">
        <f>IF(D84&gt;0, E84/D84, IF(H84="Completed", 1, 0))</f>
        <v/>
      </c>
      <c r="G84" s="2" t="n">
        <v>6</v>
      </c>
      <c r="H84" s="4" t="inlineStr">
        <is>
          <t>Completed</t>
        </is>
      </c>
      <c r="I84" s="3" t="inlineStr">
        <is>
          <t>Comedy, Drama, Romance</t>
        </is>
      </c>
      <c r="J84" s="3" t="inlineStr">
        <is>
          <t>TMS Entertainment</t>
        </is>
      </c>
      <c r="K84" s="7" t="n">
        <v>6.5</v>
      </c>
      <c r="L84" s="8" t="inlineStr">
        <is>
          <t>https://myanimelist.net/anime/40839</t>
        </is>
      </c>
    </row>
    <row r="85" ht="20" customHeight="1">
      <c r="A85" s="9" t="n">
        <v>35860</v>
      </c>
      <c r="B85" s="10" t="inlineStr">
        <is>
          <t>Karakai Jouzu no Takagi-san</t>
        </is>
      </c>
      <c r="C85" s="11" t="inlineStr">
        <is>
          <t>TV</t>
        </is>
      </c>
      <c r="D85" s="12" t="n">
        <v>12</v>
      </c>
      <c r="E85" s="12" t="n">
        <v>12</v>
      </c>
      <c r="F85" s="13">
        <f>IF(D85&gt;0, E85/D85, IF(H85="Completed", 1, 0))</f>
        <v/>
      </c>
      <c r="G85" s="9" t="n">
        <v>6</v>
      </c>
      <c r="H85" s="11" t="inlineStr">
        <is>
          <t>Completed</t>
        </is>
      </c>
      <c r="I85" s="10" t="inlineStr">
        <is>
          <t>Comedy, Romance, Slice of Life</t>
        </is>
      </c>
      <c r="J85" s="10" t="inlineStr">
        <is>
          <t>Shin-Ei Animation</t>
        </is>
      </c>
      <c r="K85" s="14" t="n">
        <v>7.4</v>
      </c>
      <c r="L85" s="15" t="inlineStr">
        <is>
          <t>https://myanimelist.net/anime/35860</t>
        </is>
      </c>
    </row>
    <row r="86" ht="20" customHeight="1">
      <c r="A86" s="2" t="n">
        <v>38993</v>
      </c>
      <c r="B86" s="3" t="inlineStr">
        <is>
          <t>Karakai Jouzu no Takagi-san 2</t>
        </is>
      </c>
      <c r="C86" s="4" t="inlineStr">
        <is>
          <t>TV</t>
        </is>
      </c>
      <c r="D86" s="5" t="n">
        <v>12</v>
      </c>
      <c r="E86" s="5" t="n">
        <v>12</v>
      </c>
      <c r="F86" s="6">
        <f>IF(D86&gt;0, E86/D86, IF(H86="Completed", 1, 0))</f>
        <v/>
      </c>
      <c r="G86" s="2" t="n">
        <v>6</v>
      </c>
      <c r="H86" s="4" t="inlineStr">
        <is>
          <t>Completed</t>
        </is>
      </c>
      <c r="I86" s="3" t="inlineStr">
        <is>
          <t>Comedy, Romance, Slice of Life</t>
        </is>
      </c>
      <c r="J86" s="3" t="inlineStr">
        <is>
          <t>Shin-Ei Animation</t>
        </is>
      </c>
      <c r="K86" s="7" t="n">
        <v>7.9</v>
      </c>
      <c r="L86" s="8" t="inlineStr">
        <is>
          <t>https://myanimelist.net/anime/38993</t>
        </is>
      </c>
    </row>
    <row r="87" ht="20" customHeight="1">
      <c r="A87" s="9" t="n">
        <v>38000</v>
      </c>
      <c r="B87" s="10" t="inlineStr">
        <is>
          <t>Kimetsu no Yaiba</t>
        </is>
      </c>
      <c r="C87" s="11" t="inlineStr">
        <is>
          <t>TV</t>
        </is>
      </c>
      <c r="D87" s="12" t="n">
        <v>26</v>
      </c>
      <c r="E87" s="12" t="n">
        <v>26</v>
      </c>
      <c r="F87" s="13">
        <f>IF(D87&gt;0, E87/D87, IF(H87="Completed", 1, 0))</f>
        <v/>
      </c>
      <c r="G87" s="9" t="n">
        <v>8</v>
      </c>
      <c r="H87" s="11" t="inlineStr">
        <is>
          <t>Completed</t>
        </is>
      </c>
      <c r="I87" s="10" t="inlineStr">
        <is>
          <t>Action, Adventure, Drama, Fantasy, Supernatural</t>
        </is>
      </c>
      <c r="J87" s="10" t="inlineStr">
        <is>
          <t>ufotable</t>
        </is>
      </c>
      <c r="K87" s="14" t="n">
        <v>8.300000000000001</v>
      </c>
      <c r="L87" s="15" t="inlineStr">
        <is>
          <t>https://myanimelist.net/anime/38000</t>
        </is>
      </c>
    </row>
    <row r="88" ht="20" customHeight="1">
      <c r="A88" s="2" t="n">
        <v>40456</v>
      </c>
      <c r="B88" s="3" t="inlineStr">
        <is>
          <t>Kimetsu no Yaiba Movie: Mugen Ressha-hen</t>
        </is>
      </c>
      <c r="C88" s="4" t="inlineStr">
        <is>
          <t>Movie</t>
        </is>
      </c>
      <c r="D88" s="5" t="n">
        <v>1</v>
      </c>
      <c r="E88" s="5" t="n">
        <v>1</v>
      </c>
      <c r="F88" s="6">
        <f>IF(D88&gt;0, E88/D88, IF(H88="Completed", 1, 0))</f>
        <v/>
      </c>
      <c r="G88" s="2" t="n">
        <v>9</v>
      </c>
      <c r="H88" s="4" t="inlineStr">
        <is>
          <t>Completed</t>
        </is>
      </c>
      <c r="I88" s="3" t="inlineStr">
        <is>
          <t>Action, Adventure, Drama, Fantasy, Mystery, Supernatural</t>
        </is>
      </c>
      <c r="J88" s="3" t="inlineStr">
        <is>
          <t>ufotable</t>
        </is>
      </c>
      <c r="K88" s="7" t="n">
        <v>8.4</v>
      </c>
      <c r="L88" s="8" t="inlineStr">
        <is>
          <t>https://myanimelist.net/anime/40456</t>
        </is>
      </c>
    </row>
    <row r="89" ht="20" customHeight="1">
      <c r="A89" s="9" t="n">
        <v>47778</v>
      </c>
      <c r="B89" s="10" t="inlineStr">
        <is>
          <t>Kimetsu no Yaiba: Yuukaku-hen</t>
        </is>
      </c>
      <c r="C89" s="11" t="inlineStr">
        <is>
          <t>TV</t>
        </is>
      </c>
      <c r="D89" s="12" t="n">
        <v>11</v>
      </c>
      <c r="E89" s="12" t="n">
        <v>11</v>
      </c>
      <c r="F89" s="13">
        <f>IF(D89&gt;0, E89/D89, IF(H89="Completed", 1, 0))</f>
        <v/>
      </c>
      <c r="G89" s="9" t="n">
        <v>9</v>
      </c>
      <c r="H89" s="11" t="inlineStr">
        <is>
          <t>Completed</t>
        </is>
      </c>
      <c r="I89" s="10" t="inlineStr">
        <is>
          <t>Action, Adventure, Fantasy, Supernatural</t>
        </is>
      </c>
      <c r="J89" s="10" t="inlineStr">
        <is>
          <t>ufotable</t>
        </is>
      </c>
      <c r="K89" s="14" t="n">
        <v>8.6</v>
      </c>
      <c r="L89" s="15" t="inlineStr">
        <is>
          <t>https://myanimelist.net/anime/47778</t>
        </is>
      </c>
    </row>
    <row r="90" ht="20" customHeight="1">
      <c r="A90" s="2" t="n">
        <v>32281</v>
      </c>
      <c r="B90" s="3" t="inlineStr">
        <is>
          <t>Kimi no Na wa.</t>
        </is>
      </c>
      <c r="C90" s="4" t="inlineStr">
        <is>
          <t>Movie</t>
        </is>
      </c>
      <c r="D90" s="5" t="n">
        <v>1</v>
      </c>
      <c r="E90" s="5" t="n">
        <v>1</v>
      </c>
      <c r="F90" s="6">
        <f>IF(D90&gt;0, E90/D90, IF(H90="Completed", 1, 0))</f>
        <v/>
      </c>
      <c r="G90" s="2" t="n">
        <v>10</v>
      </c>
      <c r="H90" s="4" t="inlineStr">
        <is>
          <t>Completed</t>
        </is>
      </c>
      <c r="I90" s="3" t="inlineStr">
        <is>
          <t>Drama, Romance, Supernatural</t>
        </is>
      </c>
      <c r="J90" s="3" t="inlineStr">
        <is>
          <t>CoMix Wave</t>
        </is>
      </c>
      <c r="K90" s="7" t="n">
        <v>8.6</v>
      </c>
      <c r="L90" s="8" t="inlineStr">
        <is>
          <t>https://myanimelist.net/anime/32281</t>
        </is>
      </c>
    </row>
    <row r="91" ht="20" customHeight="1">
      <c r="A91" s="9" t="n">
        <v>36098</v>
      </c>
      <c r="B91" s="10" t="inlineStr">
        <is>
          <t>Kimi no Suizou wo Tabetai</t>
        </is>
      </c>
      <c r="C91" s="11" t="inlineStr">
        <is>
          <t>Movie</t>
        </is>
      </c>
      <c r="D91" s="12" t="n">
        <v>1</v>
      </c>
      <c r="E91" s="12" t="n">
        <v>1</v>
      </c>
      <c r="F91" s="13">
        <f>IF(D91&gt;0, E91/D91, IF(H91="Completed", 1, 0))</f>
        <v/>
      </c>
      <c r="G91" s="9" t="n">
        <v>7</v>
      </c>
      <c r="H91" s="11" t="inlineStr">
        <is>
          <t>Completed</t>
        </is>
      </c>
      <c r="I91" s="10" t="inlineStr">
        <is>
          <t>Drama, Romance, Slice of Life</t>
        </is>
      </c>
      <c r="J91" s="10" t="inlineStr">
        <is>
          <t>Studio VOLN</t>
        </is>
      </c>
      <c r="K91" s="14" t="n">
        <v>8.4</v>
      </c>
      <c r="L91" s="15" t="inlineStr">
        <is>
          <t>https://myanimelist.net/anime/36098</t>
        </is>
      </c>
    </row>
    <row r="92" ht="20" customHeight="1">
      <c r="A92" s="2" t="n">
        <v>9260</v>
      </c>
      <c r="B92" s="3" t="inlineStr">
        <is>
          <t>Kizumonogatari I: Tekketsu-hen</t>
        </is>
      </c>
      <c r="C92" s="4" t="inlineStr">
        <is>
          <t>Movie</t>
        </is>
      </c>
      <c r="D92" s="5" t="n">
        <v>1</v>
      </c>
      <c r="E92" s="5" t="n">
        <v>1</v>
      </c>
      <c r="F92" s="6">
        <f>IF(D92&gt;0, E92/D92, IF(H92="Completed", 1, 0))</f>
        <v/>
      </c>
      <c r="G92" s="2" t="n">
        <v>8</v>
      </c>
      <c r="H92" s="4" t="inlineStr">
        <is>
          <t>Completed</t>
        </is>
      </c>
      <c r="I92" s="3" t="inlineStr">
        <is>
          <t>Action, Drama, Ecchi, Mystery, Psychological, Supernatural</t>
        </is>
      </c>
      <c r="J92" s="3" t="inlineStr">
        <is>
          <t>Shaft</t>
        </is>
      </c>
      <c r="K92" s="7" t="n">
        <v>8.300000000000001</v>
      </c>
      <c r="L92" s="8" t="inlineStr">
        <is>
          <t>https://myanimelist.net/anime/9260</t>
        </is>
      </c>
    </row>
    <row r="93" ht="20" customHeight="1">
      <c r="A93" s="9" t="n">
        <v>31757</v>
      </c>
      <c r="B93" s="10" t="inlineStr">
        <is>
          <t>Kizumonogatari II: Nekketsu-hen</t>
        </is>
      </c>
      <c r="C93" s="11" t="inlineStr">
        <is>
          <t>Movie</t>
        </is>
      </c>
      <c r="D93" s="12" t="n">
        <v>1</v>
      </c>
      <c r="E93" s="12" t="n">
        <v>1</v>
      </c>
      <c r="F93" s="13">
        <f>IF(D93&gt;0, E93/D93, IF(H93="Completed", 1, 0))</f>
        <v/>
      </c>
      <c r="G93" s="9" t="n">
        <v>8</v>
      </c>
      <c r="H93" s="11" t="inlineStr">
        <is>
          <t>Completed</t>
        </is>
      </c>
      <c r="I93" s="10" t="inlineStr">
        <is>
          <t>Action, Drama, Ecchi, Mystery, Psychological, Supernatural</t>
        </is>
      </c>
      <c r="J93" s="10" t="inlineStr">
        <is>
          <t>Shaft</t>
        </is>
      </c>
      <c r="K93" s="14" t="n">
        <v>8.5</v>
      </c>
      <c r="L93" s="15" t="inlineStr">
        <is>
          <t>https://myanimelist.net/anime/31757</t>
        </is>
      </c>
    </row>
    <row r="94" ht="20" customHeight="1">
      <c r="A94" s="2" t="n">
        <v>31758</v>
      </c>
      <c r="B94" s="3" t="inlineStr">
        <is>
          <t>Kizumonogatari III: Reiketsu-hen</t>
        </is>
      </c>
      <c r="C94" s="4" t="inlineStr">
        <is>
          <t>Movie</t>
        </is>
      </c>
      <c r="D94" s="5" t="n">
        <v>1</v>
      </c>
      <c r="E94" s="5" t="n">
        <v>1</v>
      </c>
      <c r="F94" s="6">
        <f>IF(D94&gt;0, E94/D94, IF(H94="Completed", 1, 0))</f>
        <v/>
      </c>
      <c r="G94" s="2" t="n">
        <v>9</v>
      </c>
      <c r="H94" s="4" t="inlineStr">
        <is>
          <t>Completed</t>
        </is>
      </c>
      <c r="I94" s="3" t="inlineStr">
        <is>
          <t>Action, Drama, Ecchi, Mystery, Psychological, Supernatural</t>
        </is>
      </c>
      <c r="J94" s="3" t="inlineStr">
        <is>
          <t>Shaft</t>
        </is>
      </c>
      <c r="K94" s="7" t="n">
        <v>8.699999999999999</v>
      </c>
      <c r="L94" s="8" t="inlineStr">
        <is>
          <t>https://myanimelist.net/anime/31758</t>
        </is>
      </c>
    </row>
    <row r="95" ht="20" customHeight="1">
      <c r="A95" s="9" t="n">
        <v>33206</v>
      </c>
      <c r="B95" s="10" t="inlineStr">
        <is>
          <t>Kobayashi-san Chi no Maid Dragon</t>
        </is>
      </c>
      <c r="C95" s="11" t="inlineStr">
        <is>
          <t>TV</t>
        </is>
      </c>
      <c r="D95" s="12" t="n">
        <v>13</v>
      </c>
      <c r="E95" s="12" t="n">
        <v>13</v>
      </c>
      <c r="F95" s="13">
        <f>IF(D95&gt;0, E95/D95, IF(H95="Completed", 1, 0))</f>
        <v/>
      </c>
      <c r="G95" s="9" t="n">
        <v>8</v>
      </c>
      <c r="H95" s="11" t="inlineStr">
        <is>
          <t>Completed</t>
        </is>
      </c>
      <c r="I95" s="10" t="inlineStr">
        <is>
          <t>Comedy, Fantasy, Slice of Life</t>
        </is>
      </c>
      <c r="J95" s="10" t="inlineStr">
        <is>
          <t>Kyoto Animation</t>
        </is>
      </c>
      <c r="K95" s="14" t="n">
        <v>7.7</v>
      </c>
      <c r="L95" s="15" t="inlineStr">
        <is>
          <t>https://myanimelist.net/anime/33206</t>
        </is>
      </c>
    </row>
    <row r="96" ht="20" customHeight="1">
      <c r="A96" s="2" t="n">
        <v>39247</v>
      </c>
      <c r="B96" s="3" t="inlineStr">
        <is>
          <t>Kobayashi-san Chi no Maid Dragon S</t>
        </is>
      </c>
      <c r="C96" s="4" t="inlineStr">
        <is>
          <t>TV</t>
        </is>
      </c>
      <c r="D96" s="5" t="n">
        <v>12</v>
      </c>
      <c r="E96" s="5" t="n">
        <v>12</v>
      </c>
      <c r="F96" s="6">
        <f>IF(D96&gt;0, E96/D96, IF(H96="Completed", 1, 0))</f>
        <v/>
      </c>
      <c r="G96" s="2" t="n">
        <v>8</v>
      </c>
      <c r="H96" s="4" t="inlineStr">
        <is>
          <t>Completed</t>
        </is>
      </c>
      <c r="I96" s="3" t="inlineStr">
        <is>
          <t>Comedy, Fantasy, Slice of Life</t>
        </is>
      </c>
      <c r="J96" s="3" t="inlineStr">
        <is>
          <t>Kyoto Animation</t>
        </is>
      </c>
      <c r="K96" s="7" t="n">
        <v>8.1</v>
      </c>
      <c r="L96" s="8" t="inlineStr">
        <is>
          <t>https://myanimelist.net/anime/39247</t>
        </is>
      </c>
    </row>
    <row r="97" ht="20" customHeight="1">
      <c r="A97" s="9" t="n">
        <v>28851</v>
      </c>
      <c r="B97" s="10" t="inlineStr">
        <is>
          <t>Koe no Katachi</t>
        </is>
      </c>
      <c r="C97" s="11" t="inlineStr">
        <is>
          <t>Movie</t>
        </is>
      </c>
      <c r="D97" s="12" t="n">
        <v>1</v>
      </c>
      <c r="E97" s="12" t="n">
        <v>1</v>
      </c>
      <c r="F97" s="13">
        <f>IF(D97&gt;0, E97/D97, IF(H97="Completed", 1, 0))</f>
        <v/>
      </c>
      <c r="G97" s="9" t="n">
        <v>9</v>
      </c>
      <c r="H97" s="11" t="inlineStr">
        <is>
          <t>Completed</t>
        </is>
      </c>
      <c r="I97" s="10" t="inlineStr">
        <is>
          <t>Drama, Romance, Slice of Life</t>
        </is>
      </c>
      <c r="J97" s="10" t="inlineStr">
        <is>
          <t>Kyoto Animation</t>
        </is>
      </c>
      <c r="K97" s="14" t="n">
        <v>8.800000000000001</v>
      </c>
      <c r="L97" s="15" t="inlineStr">
        <is>
          <t>https://myanimelist.net/anime/28851</t>
        </is>
      </c>
    </row>
    <row r="98" ht="20" customHeight="1">
      <c r="A98" s="2" t="n">
        <v>11887</v>
      </c>
      <c r="B98" s="3" t="inlineStr">
        <is>
          <t>Kokoro Connect</t>
        </is>
      </c>
      <c r="C98" s="4" t="inlineStr">
        <is>
          <t>TV</t>
        </is>
      </c>
      <c r="D98" s="5" t="n">
        <v>13</v>
      </c>
      <c r="E98" s="5" t="n">
        <v>13</v>
      </c>
      <c r="F98" s="6">
        <f>IF(D98&gt;0, E98/D98, IF(H98="Completed", 1, 0))</f>
        <v/>
      </c>
      <c r="G98" s="2" t="n">
        <v>6</v>
      </c>
      <c r="H98" s="4" t="inlineStr">
        <is>
          <t>Completed</t>
        </is>
      </c>
      <c r="I98" s="3" t="inlineStr">
        <is>
          <t>Drama, Romance, Slice of Life, Supernatural</t>
        </is>
      </c>
      <c r="J98" s="3" t="inlineStr">
        <is>
          <t>SILVER LINK.</t>
        </is>
      </c>
      <c r="K98" s="7" t="n">
        <v>7.5</v>
      </c>
      <c r="L98" s="8" t="inlineStr">
        <is>
          <t>https://myanimelist.net/anime/11887</t>
        </is>
      </c>
    </row>
    <row r="99" ht="20" customHeight="1">
      <c r="A99" s="9" t="n">
        <v>16001</v>
      </c>
      <c r="B99" s="10" t="inlineStr">
        <is>
          <t>Kokoro Connect: Michi Random</t>
        </is>
      </c>
      <c r="C99" s="11" t="inlineStr">
        <is>
          <t>Special</t>
        </is>
      </c>
      <c r="D99" s="12" t="n">
        <v>4</v>
      </c>
      <c r="E99" s="12" t="n">
        <v>4</v>
      </c>
      <c r="F99" s="13">
        <f>IF(D99&gt;0, E99/D99, IF(H99="Completed", 1, 0))</f>
        <v/>
      </c>
      <c r="G99" s="9" t="n">
        <v>6</v>
      </c>
      <c r="H99" s="11" t="inlineStr">
        <is>
          <t>Completed</t>
        </is>
      </c>
      <c r="I99" s="10" t="inlineStr">
        <is>
          <t>Drama, Romance, Slice of Life, Supernatural</t>
        </is>
      </c>
      <c r="J99" s="10" t="inlineStr">
        <is>
          <t>SILVER LINK.</t>
        </is>
      </c>
      <c r="K99" s="14" t="n">
        <v>7.7</v>
      </c>
      <c r="L99" s="15" t="inlineStr">
        <is>
          <t>https://myanimelist.net/anime/16001</t>
        </is>
      </c>
    </row>
    <row r="100" ht="20" customHeight="1">
      <c r="A100" s="2" t="n">
        <v>28725</v>
      </c>
      <c r="B100" s="3" t="inlineStr">
        <is>
          <t>Kokoro ga Sakebitagatterunda.</t>
        </is>
      </c>
      <c r="C100" s="4" t="inlineStr">
        <is>
          <t>Movie</t>
        </is>
      </c>
      <c r="D100" s="5" t="n">
        <v>1</v>
      </c>
      <c r="E100" s="5" t="n">
        <v>1</v>
      </c>
      <c r="F100" s="6">
        <f>IF(D100&gt;0, E100/D100, IF(H100="Completed", 1, 0))</f>
        <v/>
      </c>
      <c r="G100" s="2" t="n">
        <v>7</v>
      </c>
      <c r="H100" s="4" t="inlineStr">
        <is>
          <t>Completed</t>
        </is>
      </c>
      <c r="I100" s="3" t="inlineStr">
        <is>
          <t>Drama, Music, Psychological, Romance, Slice of Life</t>
        </is>
      </c>
      <c r="J100" s="3" t="inlineStr">
        <is>
          <t>A-1 Pictures</t>
        </is>
      </c>
      <c r="K100" s="7" t="n">
        <v>7.6</v>
      </c>
      <c r="L100" s="8" t="inlineStr">
        <is>
          <t>https://myanimelist.net/anime/28725</t>
        </is>
      </c>
    </row>
    <row r="101" ht="20" customHeight="1">
      <c r="A101" s="9" t="n">
        <v>48926</v>
      </c>
      <c r="B101" s="10" t="inlineStr">
        <is>
          <t>Komi-san wa, Comyushou desu.</t>
        </is>
      </c>
      <c r="C101" s="11" t="inlineStr">
        <is>
          <t>TV</t>
        </is>
      </c>
      <c r="D101" s="12" t="n">
        <v>12</v>
      </c>
      <c r="E101" s="12" t="n">
        <v>12</v>
      </c>
      <c r="F101" s="13">
        <f>IF(D101&gt;0, E101/D101, IF(H101="Completed", 1, 0))</f>
        <v/>
      </c>
      <c r="G101" s="9" t="n">
        <v>8</v>
      </c>
      <c r="H101" s="11" t="inlineStr">
        <is>
          <t>Completed</t>
        </is>
      </c>
      <c r="I101" s="10" t="inlineStr">
        <is>
          <t>Comedy, Romance, Slice of Life</t>
        </is>
      </c>
      <c r="J101" s="10" t="inlineStr">
        <is>
          <t>OLM</t>
        </is>
      </c>
      <c r="K101" s="14" t="n">
        <v>7.6</v>
      </c>
      <c r="L101" s="15" t="inlineStr">
        <is>
          <t>https://myanimelist.net/anime/48926</t>
        </is>
      </c>
    </row>
    <row r="102" ht="20" customHeight="1">
      <c r="A102" s="2" t="n">
        <v>50631</v>
      </c>
      <c r="B102" s="3" t="inlineStr">
        <is>
          <t>Komi-san wa, Comyushou desu. 2nd Season</t>
        </is>
      </c>
      <c r="C102" s="4" t="inlineStr">
        <is>
          <t>TV</t>
        </is>
      </c>
      <c r="D102" s="5" t="n">
        <v>12</v>
      </c>
      <c r="E102" s="5" t="n">
        <v>12</v>
      </c>
      <c r="F102" s="6">
        <f>IF(D102&gt;0, E102/D102, IF(H102="Completed", 1, 0))</f>
        <v/>
      </c>
      <c r="G102" s="2" t="n">
        <v>7</v>
      </c>
      <c r="H102" s="4" t="inlineStr">
        <is>
          <t>Completed</t>
        </is>
      </c>
      <c r="I102" s="3" t="inlineStr">
        <is>
          <t>Comedy, Romance, Slice of Life</t>
        </is>
      </c>
      <c r="J102" s="3" t="inlineStr">
        <is>
          <t>OLM</t>
        </is>
      </c>
      <c r="K102" s="7" t="n">
        <v>7.8</v>
      </c>
      <c r="L102" s="8" t="inlineStr">
        <is>
          <t>https://myanimelist.net/anime/50631</t>
        </is>
      </c>
    </row>
    <row r="103" ht="20" customHeight="1">
      <c r="A103" s="9" t="n">
        <v>30831</v>
      </c>
      <c r="B103" s="10" t="inlineStr">
        <is>
          <t>Kono Subarashii Sekai ni Shukufuku wo!</t>
        </is>
      </c>
      <c r="C103" s="11" t="inlineStr">
        <is>
          <t>TV</t>
        </is>
      </c>
      <c r="D103" s="12" t="n">
        <v>10</v>
      </c>
      <c r="E103" s="12" t="n">
        <v>10</v>
      </c>
      <c r="F103" s="13">
        <f>IF(D103&gt;0, E103/D103, IF(H103="Completed", 1, 0))</f>
        <v/>
      </c>
      <c r="G103" s="9" t="n">
        <v>8</v>
      </c>
      <c r="H103" s="11" t="inlineStr">
        <is>
          <t>Completed</t>
        </is>
      </c>
      <c r="I103" s="10" t="inlineStr">
        <is>
          <t>Adventure, Comedy, Ecchi, Fantasy</t>
        </is>
      </c>
      <c r="J103" s="10" t="inlineStr">
        <is>
          <t>Studio DEEN</t>
        </is>
      </c>
      <c r="K103" s="14" t="n">
        <v>7.9</v>
      </c>
      <c r="L103" s="15" t="inlineStr">
        <is>
          <t>https://myanimelist.net/anime/30831</t>
        </is>
      </c>
    </row>
    <row r="104" ht="20" customHeight="1">
      <c r="A104" s="2" t="n">
        <v>32937</v>
      </c>
      <c r="B104" s="3" t="inlineStr">
        <is>
          <t>Kono Subarashii Sekai ni Shukufuku wo! 2</t>
        </is>
      </c>
      <c r="C104" s="4" t="inlineStr">
        <is>
          <t>TV</t>
        </is>
      </c>
      <c r="D104" s="5" t="n">
        <v>10</v>
      </c>
      <c r="E104" s="5" t="n">
        <v>10</v>
      </c>
      <c r="F104" s="6">
        <f>IF(D104&gt;0, E104/D104, IF(H104="Completed", 1, 0))</f>
        <v/>
      </c>
      <c r="G104" s="2" t="n">
        <v>8</v>
      </c>
      <c r="H104" s="4" t="inlineStr">
        <is>
          <t>Completed</t>
        </is>
      </c>
      <c r="I104" s="3" t="inlineStr">
        <is>
          <t>Adventure, Comedy, Ecchi, Fantasy</t>
        </is>
      </c>
      <c r="J104" s="3" t="inlineStr">
        <is>
          <t>Studio DEEN</t>
        </is>
      </c>
      <c r="K104" s="7" t="n">
        <v>8.1</v>
      </c>
      <c r="L104" s="8" t="inlineStr">
        <is>
          <t>https://myanimelist.net/anime/32937</t>
        </is>
      </c>
    </row>
    <row r="105" ht="20" customHeight="1">
      <c r="A105" s="9" t="n">
        <v>38040</v>
      </c>
      <c r="B105" s="10" t="inlineStr">
        <is>
          <t>Kono Subarashii Sekai ni Shukufuku wo! Movie: Kurenai Densetsu</t>
        </is>
      </c>
      <c r="C105" s="11" t="inlineStr">
        <is>
          <t>Movie</t>
        </is>
      </c>
      <c r="D105" s="12" t="n">
        <v>1</v>
      </c>
      <c r="E105" s="12" t="n">
        <v>1</v>
      </c>
      <c r="F105" s="13">
        <f>IF(D105&gt;0, E105/D105, IF(H105="Completed", 1, 0))</f>
        <v/>
      </c>
      <c r="G105" s="9" t="n">
        <v>9</v>
      </c>
      <c r="H105" s="11" t="inlineStr">
        <is>
          <t>Completed</t>
        </is>
      </c>
      <c r="I105" s="10" t="inlineStr">
        <is>
          <t>Action, Adventure, Comedy, Ecchi, Fantasy, Supernatural</t>
        </is>
      </c>
      <c r="J105" s="10" t="inlineStr">
        <is>
          <t>J.C.STAFF</t>
        </is>
      </c>
      <c r="K105" s="14" t="n">
        <v>8.199999999999999</v>
      </c>
      <c r="L105" s="15" t="inlineStr">
        <is>
          <t>https://myanimelist.net/anime/38040</t>
        </is>
      </c>
    </row>
    <row r="106" ht="20" customHeight="1">
      <c r="A106" s="2" t="n">
        <v>16782</v>
      </c>
      <c r="B106" s="3" t="inlineStr">
        <is>
          <t>Kotonoha no Niwa</t>
        </is>
      </c>
      <c r="C106" s="4" t="inlineStr">
        <is>
          <t>Movie</t>
        </is>
      </c>
      <c r="D106" s="5" t="n">
        <v>1</v>
      </c>
      <c r="E106" s="5" t="n">
        <v>1</v>
      </c>
      <c r="F106" s="6">
        <f>IF(D106&gt;0, E106/D106, IF(H106="Completed", 1, 0))</f>
        <v/>
      </c>
      <c r="G106" s="2" t="n">
        <v>7</v>
      </c>
      <c r="H106" s="4" t="inlineStr">
        <is>
          <t>Completed</t>
        </is>
      </c>
      <c r="I106" s="3" t="inlineStr">
        <is>
          <t>Drama, Psychological, Romance, Slice of Life</t>
        </is>
      </c>
      <c r="J106" s="3" t="inlineStr">
        <is>
          <t>CoMix Wave</t>
        </is>
      </c>
      <c r="K106" s="7" t="n">
        <v>7.5</v>
      </c>
      <c r="L106" s="8" t="inlineStr">
        <is>
          <t>https://myanimelist.net/anime/16782</t>
        </is>
      </c>
    </row>
    <row r="107" ht="20" customHeight="1">
      <c r="A107" s="9" t="n">
        <v>433</v>
      </c>
      <c r="B107" s="10" t="inlineStr">
        <is>
          <t>Kumo no Mukou, Yakusoku no Basho</t>
        </is>
      </c>
      <c r="C107" s="11" t="inlineStr">
        <is>
          <t>Movie</t>
        </is>
      </c>
      <c r="D107" s="12" t="n">
        <v>1</v>
      </c>
      <c r="E107" s="12" t="n">
        <v>1</v>
      </c>
      <c r="F107" s="13">
        <f>IF(D107&gt;0, E107/D107, IF(H107="Completed", 1, 0))</f>
        <v/>
      </c>
      <c r="G107" s="9" t="n">
        <v>5</v>
      </c>
      <c r="H107" s="11" t="inlineStr">
        <is>
          <t>Completed</t>
        </is>
      </c>
      <c r="I107" s="10" t="inlineStr">
        <is>
          <t>Drama, Romance, Sci-Fi</t>
        </is>
      </c>
      <c r="J107" s="10" t="inlineStr">
        <is>
          <t>CoMix Wave</t>
        </is>
      </c>
      <c r="K107" s="14" t="n">
        <v>6.8</v>
      </c>
      <c r="L107" s="15" t="inlineStr">
        <is>
          <t>https://myanimelist.net/anime/433</t>
        </is>
      </c>
    </row>
    <row r="108" ht="20" customHeight="1">
      <c r="A108" s="2" t="n">
        <v>18153</v>
      </c>
      <c r="B108" s="3" t="inlineStr">
        <is>
          <t>Kyoukai no Kanata</t>
        </is>
      </c>
      <c r="C108" s="4" t="inlineStr">
        <is>
          <t>TV</t>
        </is>
      </c>
      <c r="D108" s="5" t="n">
        <v>12</v>
      </c>
      <c r="E108" s="5" t="n">
        <v>12</v>
      </c>
      <c r="F108" s="6">
        <f>IF(D108&gt;0, E108/D108, IF(H108="Completed", 1, 0))</f>
        <v/>
      </c>
      <c r="G108" s="2" t="n">
        <v>5</v>
      </c>
      <c r="H108" s="4" t="inlineStr">
        <is>
          <t>Completed</t>
        </is>
      </c>
      <c r="I108" s="3" t="inlineStr">
        <is>
          <t>Action, Drama, Fantasy, Slice of Life, Supernatural</t>
        </is>
      </c>
      <c r="J108" s="3" t="inlineStr">
        <is>
          <t>Kyoto Animation</t>
        </is>
      </c>
      <c r="K108" s="7" t="n">
        <v>7.4</v>
      </c>
      <c r="L108" s="8" t="inlineStr">
        <is>
          <t>https://myanimelist.net/anime/18153</t>
        </is>
      </c>
    </row>
    <row r="109" ht="20" customHeight="1">
      <c r="A109" s="9" t="n">
        <v>58125</v>
      </c>
      <c r="B109" s="10" t="inlineStr">
        <is>
          <t>Look Back</t>
        </is>
      </c>
      <c r="C109" s="11" t="inlineStr">
        <is>
          <t>Movie</t>
        </is>
      </c>
      <c r="D109" s="12" t="n">
        <v>1</v>
      </c>
      <c r="E109" s="12" t="n">
        <v>1</v>
      </c>
      <c r="F109" s="13">
        <f>IF(D109&gt;0, E109/D109, IF(H109="Completed", 1, 0))</f>
        <v/>
      </c>
      <c r="G109" s="9" t="n">
        <v>9</v>
      </c>
      <c r="H109" s="11" t="inlineStr">
        <is>
          <t>Completed</t>
        </is>
      </c>
      <c r="I109" s="10" t="inlineStr">
        <is>
          <t>Drama, Slice of Life</t>
        </is>
      </c>
      <c r="J109" s="10" t="inlineStr">
        <is>
          <t>Studio Durian</t>
        </is>
      </c>
      <c r="K109" s="14" t="n">
        <v>8.6</v>
      </c>
      <c r="L109" s="15" t="inlineStr">
        <is>
          <t>https://myanimelist.net/anime/58125</t>
        </is>
      </c>
    </row>
    <row r="110" ht="20" customHeight="1">
      <c r="A110" s="2" t="n">
        <v>34599</v>
      </c>
      <c r="B110" s="3" t="inlineStr">
        <is>
          <t>Made in Abyss</t>
        </is>
      </c>
      <c r="C110" s="4" t="inlineStr">
        <is>
          <t>TV</t>
        </is>
      </c>
      <c r="D110" s="5" t="n">
        <v>13</v>
      </c>
      <c r="E110" s="5" t="n">
        <v>13</v>
      </c>
      <c r="F110" s="6">
        <f>IF(D110&gt;0, E110/D110, IF(H110="Completed", 1, 0))</f>
        <v/>
      </c>
      <c r="G110" s="2" t="n">
        <v>9</v>
      </c>
      <c r="H110" s="4" t="inlineStr">
        <is>
          <t>Completed</t>
        </is>
      </c>
      <c r="I110" s="3" t="inlineStr">
        <is>
          <t>Adventure, Drama, Fantasy, Horror, Mystery, Sci-Fi</t>
        </is>
      </c>
      <c r="J110" s="3" t="inlineStr">
        <is>
          <t>Kinema Citrus</t>
        </is>
      </c>
      <c r="K110" s="7" t="n">
        <v>8.4</v>
      </c>
      <c r="L110" s="8" t="inlineStr">
        <is>
          <t>https://myanimelist.net/anime/34599</t>
        </is>
      </c>
    </row>
    <row r="111" ht="20" customHeight="1">
      <c r="A111" s="9" t="n">
        <v>36862</v>
      </c>
      <c r="B111" s="10" t="inlineStr">
        <is>
          <t>Made in Abyss Movie 3: Fukaki Tamashii no Reimei</t>
        </is>
      </c>
      <c r="C111" s="11" t="inlineStr">
        <is>
          <t>Movie</t>
        </is>
      </c>
      <c r="D111" s="12" t="n">
        <v>1</v>
      </c>
      <c r="E111" s="12" t="n">
        <v>1</v>
      </c>
      <c r="F111" s="13">
        <f>IF(D111&gt;0, E111/D111, IF(H111="Completed", 1, 0))</f>
        <v/>
      </c>
      <c r="G111" s="9" t="n">
        <v>6</v>
      </c>
      <c r="H111" s="11" t="inlineStr">
        <is>
          <t>Completed</t>
        </is>
      </c>
      <c r="I111" s="10" t="inlineStr">
        <is>
          <t>Action, Adventure, Drama, Fantasy, Horror, Mystery, Psychological, Sci-Fi</t>
        </is>
      </c>
      <c r="J111" s="10" t="inlineStr">
        <is>
          <t>Kinema Citrus</t>
        </is>
      </c>
      <c r="K111" s="14" t="n">
        <v>8.5</v>
      </c>
      <c r="L111" s="15" t="inlineStr">
        <is>
          <t>https://myanimelist.net/anime/36862</t>
        </is>
      </c>
    </row>
    <row r="112" ht="20" customHeight="1">
      <c r="A112" s="2" t="n">
        <v>41084</v>
      </c>
      <c r="B112" s="3" t="inlineStr">
        <is>
          <t>Made in Abyss: Retsujitsu no Ougonkyou</t>
        </is>
      </c>
      <c r="C112" s="4" t="inlineStr">
        <is>
          <t>TV</t>
        </is>
      </c>
      <c r="D112" s="5" t="n">
        <v>12</v>
      </c>
      <c r="E112" s="5" t="n">
        <v>12</v>
      </c>
      <c r="F112" s="6">
        <f>IF(D112&gt;0, E112/D112, IF(H112="Completed", 1, 0))</f>
        <v/>
      </c>
      <c r="G112" s="2" t="n">
        <v>8</v>
      </c>
      <c r="H112" s="4" t="inlineStr">
        <is>
          <t>Completed</t>
        </is>
      </c>
      <c r="I112" s="3" t="inlineStr">
        <is>
          <t>Adventure, Drama, Fantasy, Horror, Mystery, Sci-Fi</t>
        </is>
      </c>
      <c r="J112" s="3" t="inlineStr">
        <is>
          <t>Kinema Citrus</t>
        </is>
      </c>
      <c r="K112" s="7" t="n">
        <v>8.5</v>
      </c>
      <c r="L112" s="8" t="inlineStr">
        <is>
          <t>https://myanimelist.net/anime/41084</t>
        </is>
      </c>
    </row>
    <row r="113" ht="20" customHeight="1">
      <c r="A113" s="9" t="n">
        <v>10620</v>
      </c>
      <c r="B113" s="10" t="inlineStr">
        <is>
          <t>Mirai Nikki (TV)</t>
        </is>
      </c>
      <c r="C113" s="11" t="inlineStr">
        <is>
          <t>TV</t>
        </is>
      </c>
      <c r="D113" s="12" t="n">
        <v>26</v>
      </c>
      <c r="E113" s="12" t="n">
        <v>26</v>
      </c>
      <c r="F113" s="13">
        <f>IF(D113&gt;0, E113/D113, IF(H113="Completed", 1, 0))</f>
        <v/>
      </c>
      <c r="G113" s="9" t="n">
        <v>3</v>
      </c>
      <c r="H113" s="11" t="inlineStr">
        <is>
          <t>Watching</t>
        </is>
      </c>
      <c r="I113" s="10" t="inlineStr">
        <is>
          <t>Action, Horror, Mystery, Psychological, Supernatural, Thriller</t>
        </is>
      </c>
      <c r="J113" s="10" t="inlineStr">
        <is>
          <t>Asread</t>
        </is>
      </c>
      <c r="K113" s="14" t="n">
        <v>6.9</v>
      </c>
      <c r="L113" s="15" t="inlineStr">
        <is>
          <t>https://myanimelist.net/anime/10620</t>
        </is>
      </c>
    </row>
    <row r="114" ht="20" customHeight="1">
      <c r="A114" s="2" t="n">
        <v>36936</v>
      </c>
      <c r="B114" s="3" t="inlineStr">
        <is>
          <t>Mirai no Mirai</t>
        </is>
      </c>
      <c r="C114" s="4" t="inlineStr">
        <is>
          <t>Movie</t>
        </is>
      </c>
      <c r="D114" s="5" t="n">
        <v>1</v>
      </c>
      <c r="E114" s="5" t="n">
        <v>1</v>
      </c>
      <c r="F114" s="6">
        <f>IF(D114&gt;0, E114/D114, IF(H114="Completed", 1, 0))</f>
        <v/>
      </c>
      <c r="G114" s="2" t="n">
        <v>7</v>
      </c>
      <c r="H114" s="4" t="inlineStr">
        <is>
          <t>Completed</t>
        </is>
      </c>
      <c r="I114" s="3" t="inlineStr">
        <is>
          <t>Adventure, Comedy, Drama, Fantasy, Slice of Life</t>
        </is>
      </c>
      <c r="J114" s="3" t="inlineStr">
        <is>
          <t>Studio Chizu</t>
        </is>
      </c>
      <c r="K114" s="7" t="n">
        <v>7.1</v>
      </c>
      <c r="L114" s="8" t="inlineStr">
        <is>
          <t>https://myanimelist.net/anime/36936</t>
        </is>
      </c>
    </row>
    <row r="115" ht="20" customHeight="1">
      <c r="A115" s="9" t="n">
        <v>32182</v>
      </c>
      <c r="B115" s="10" t="inlineStr">
        <is>
          <t>Mob Psycho 100</t>
        </is>
      </c>
      <c r="C115" s="11" t="inlineStr">
        <is>
          <t>TV</t>
        </is>
      </c>
      <c r="D115" s="12" t="n">
        <v>12</v>
      </c>
      <c r="E115" s="12" t="n">
        <v>12</v>
      </c>
      <c r="F115" s="13">
        <f>IF(D115&gt;0, E115/D115, IF(H115="Completed", 1, 0))</f>
        <v/>
      </c>
      <c r="G115" s="9" t="n">
        <v>7</v>
      </c>
      <c r="H115" s="11" t="inlineStr">
        <is>
          <t>Completed</t>
        </is>
      </c>
      <c r="I115" s="10" t="inlineStr">
        <is>
          <t>Action, Comedy, Drama, Psychological, Slice of Life, Supernatural</t>
        </is>
      </c>
      <c r="J115" s="10" t="inlineStr">
        <is>
          <t>bones</t>
        </is>
      </c>
      <c r="K115" s="14" t="n">
        <v>8.4</v>
      </c>
      <c r="L115" s="15" t="inlineStr">
        <is>
          <t>https://myanimelist.net/anime/32182</t>
        </is>
      </c>
    </row>
    <row r="116" ht="20" customHeight="1">
      <c r="A116" s="2" t="n">
        <v>37510</v>
      </c>
      <c r="B116" s="3" t="inlineStr">
        <is>
          <t>Mob Psycho 100 II</t>
        </is>
      </c>
      <c r="C116" s="4" t="inlineStr">
        <is>
          <t>TV</t>
        </is>
      </c>
      <c r="D116" s="5" t="n">
        <v>13</v>
      </c>
      <c r="E116" s="5" t="n">
        <v>13</v>
      </c>
      <c r="F116" s="6">
        <f>IF(D116&gt;0, E116/D116, IF(H116="Completed", 1, 0))</f>
        <v/>
      </c>
      <c r="G116" s="2" t="n">
        <v>8</v>
      </c>
      <c r="H116" s="4" t="inlineStr">
        <is>
          <t>Completed</t>
        </is>
      </c>
      <c r="I116" s="3" t="inlineStr">
        <is>
          <t>Action, Comedy, Drama, Psychological, Slice of Life, Supernatural</t>
        </is>
      </c>
      <c r="J116" s="3" t="inlineStr">
        <is>
          <t>bones</t>
        </is>
      </c>
      <c r="K116" s="7" t="n">
        <v>8.699999999999999</v>
      </c>
      <c r="L116" s="8" t="inlineStr">
        <is>
          <t>https://myanimelist.net/anime/37510</t>
        </is>
      </c>
    </row>
    <row r="117" ht="20" customHeight="1">
      <c r="A117" s="9" t="n">
        <v>17074</v>
      </c>
      <c r="B117" s="10" t="inlineStr">
        <is>
          <t>Monogatari Series: Second Season</t>
        </is>
      </c>
      <c r="C117" s="11" t="inlineStr">
        <is>
          <t>TV</t>
        </is>
      </c>
      <c r="D117" s="12" t="n">
        <v>26</v>
      </c>
      <c r="E117" s="12" t="n">
        <v>26</v>
      </c>
      <c r="F117" s="13">
        <f>IF(D117&gt;0, E117/D117, IF(H117="Completed", 1, 0))</f>
        <v/>
      </c>
      <c r="G117" s="9" t="n">
        <v>9</v>
      </c>
      <c r="H117" s="11" t="inlineStr">
        <is>
          <t>Completed</t>
        </is>
      </c>
      <c r="I117" s="10" t="inlineStr">
        <is>
          <t>Comedy, Drama, Mystery, Psychological, Romance, Supernatural</t>
        </is>
      </c>
      <c r="J117" s="10" t="inlineStr">
        <is>
          <t>Shaft</t>
        </is>
      </c>
      <c r="K117" s="14" t="n">
        <v>8.800000000000001</v>
      </c>
      <c r="L117" s="15" t="inlineStr">
        <is>
          <t>https://myanimelist.net/anime/17074</t>
        </is>
      </c>
    </row>
    <row r="118" ht="20" customHeight="1">
      <c r="A118" s="2" t="n">
        <v>19</v>
      </c>
      <c r="B118" s="3" t="inlineStr">
        <is>
          <t>Monster</t>
        </is>
      </c>
      <c r="C118" s="4" t="inlineStr">
        <is>
          <t>TV</t>
        </is>
      </c>
      <c r="D118" s="5" t="n">
        <v>74</v>
      </c>
      <c r="E118" s="5" t="n">
        <v>74</v>
      </c>
      <c r="F118" s="6">
        <f>IF(D118&gt;0, E118/D118, IF(H118="Completed", 1, 0))</f>
        <v/>
      </c>
      <c r="G118" s="2" t="n">
        <v>9</v>
      </c>
      <c r="H118" s="4" t="inlineStr">
        <is>
          <t>Completed</t>
        </is>
      </c>
      <c r="I118" s="3" t="inlineStr">
        <is>
          <t>Drama, Horror, Mystery, Psychological, Thriller</t>
        </is>
      </c>
      <c r="J118" s="3" t="inlineStr">
        <is>
          <t>MADHOUSE</t>
        </is>
      </c>
      <c r="K118" s="7" t="n">
        <v>8.800000000000001</v>
      </c>
      <c r="L118" s="8" t="inlineStr">
        <is>
          <t>https://myanimelist.net/anime/19</t>
        </is>
      </c>
    </row>
    <row r="119" ht="20" customHeight="1">
      <c r="A119" s="9" t="n">
        <v>457</v>
      </c>
      <c r="B119" s="10" t="inlineStr">
        <is>
          <t>Mushishi</t>
        </is>
      </c>
      <c r="C119" s="11" t="inlineStr">
        <is>
          <t>TV</t>
        </is>
      </c>
      <c r="D119" s="12" t="n">
        <v>26</v>
      </c>
      <c r="E119" s="12" t="n">
        <v>0</v>
      </c>
      <c r="F119" s="13">
        <f>IF(D119&gt;0, E119/D119, IF(H119="Completed", 1, 0))</f>
        <v/>
      </c>
      <c r="G119" s="9" t="n">
        <v>0</v>
      </c>
      <c r="H119" s="11" t="inlineStr">
        <is>
          <t>Plan to Watch</t>
        </is>
      </c>
      <c r="I119" s="10" t="inlineStr">
        <is>
          <t>Adventure, Fantasy, Mystery, Psychological, Slice of Life, Supernatural</t>
        </is>
      </c>
      <c r="J119" s="10" t="inlineStr">
        <is>
          <t>Artland</t>
        </is>
      </c>
      <c r="K119" s="14" t="n">
        <v>8.5</v>
      </c>
      <c r="L119" s="15" t="inlineStr">
        <is>
          <t>https://myanimelist.net/anime/457</t>
        </is>
      </c>
    </row>
    <row r="120" ht="20" customHeight="1">
      <c r="A120" s="2" t="n">
        <v>21939</v>
      </c>
      <c r="B120" s="3" t="inlineStr">
        <is>
          <t>Mushishi Zoku Shou</t>
        </is>
      </c>
      <c r="C120" s="4" t="inlineStr">
        <is>
          <t>TV</t>
        </is>
      </c>
      <c r="D120" s="5" t="n">
        <v>10</v>
      </c>
      <c r="E120" s="5" t="n">
        <v>0</v>
      </c>
      <c r="F120" s="6">
        <f>IF(D120&gt;0, E120/D120, IF(H120="Completed", 1, 0))</f>
        <v/>
      </c>
      <c r="G120" s="2" t="n">
        <v>0</v>
      </c>
      <c r="H120" s="4" t="inlineStr">
        <is>
          <t>Plan to Watch</t>
        </is>
      </c>
      <c r="I120" s="3" t="inlineStr">
        <is>
          <t>Adventure, Fantasy, Mystery, Psychological, Slice of Life, Supernatural</t>
        </is>
      </c>
      <c r="J120" s="3" t="inlineStr">
        <is>
          <t>Artland</t>
        </is>
      </c>
      <c r="K120" s="7" t="n">
        <v>8.6</v>
      </c>
      <c r="L120" s="8" t="inlineStr">
        <is>
          <t>https://myanimelist.net/anime/21939</t>
        </is>
      </c>
    </row>
    <row r="121" ht="20" customHeight="1">
      <c r="A121" s="9" t="n">
        <v>24701</v>
      </c>
      <c r="B121" s="10" t="inlineStr">
        <is>
          <t>Mushishi Zoku Shou 2nd Season</t>
        </is>
      </c>
      <c r="C121" s="11" t="inlineStr">
        <is>
          <t>TV</t>
        </is>
      </c>
      <c r="D121" s="12" t="n">
        <v>10</v>
      </c>
      <c r="E121" s="12" t="n">
        <v>0</v>
      </c>
      <c r="F121" s="13">
        <f>IF(D121&gt;0, E121/D121, IF(H121="Completed", 1, 0))</f>
        <v/>
      </c>
      <c r="G121" s="9" t="n">
        <v>0</v>
      </c>
      <c r="H121" s="11" t="inlineStr">
        <is>
          <t>Plan to Watch</t>
        </is>
      </c>
      <c r="I121" s="10" t="inlineStr">
        <is>
          <t>Adventure, Fantasy, Mystery, Psychological, Slice of Life, Supernatural</t>
        </is>
      </c>
      <c r="J121" s="10" t="inlineStr">
        <is>
          <t>Artland</t>
        </is>
      </c>
      <c r="K121" s="14" t="n">
        <v>8.6</v>
      </c>
      <c r="L121" s="15" t="inlineStr">
        <is>
          <t>https://myanimelist.net/anime/24701</t>
        </is>
      </c>
    </row>
    <row r="122" ht="20" customHeight="1">
      <c r="A122" s="2" t="n">
        <v>51179</v>
      </c>
      <c r="B122" s="3" t="inlineStr">
        <is>
          <t>Mushoku Tensei II: Isekai Ittara Honki Dasu</t>
        </is>
      </c>
      <c r="C122" s="4" t="inlineStr">
        <is>
          <t>TV</t>
        </is>
      </c>
      <c r="D122" s="5" t="n">
        <v>12</v>
      </c>
      <c r="E122" s="5" t="n">
        <v>12</v>
      </c>
      <c r="F122" s="6">
        <f>IF(D122&gt;0, E122/D122, IF(H122="Completed", 1, 0))</f>
        <v/>
      </c>
      <c r="G122" s="2" t="n">
        <v>8</v>
      </c>
      <c r="H122" s="4" t="inlineStr">
        <is>
          <t>Completed</t>
        </is>
      </c>
      <c r="I122" s="3" t="inlineStr">
        <is>
          <t>Adventure, Drama, Ecchi, Fantasy</t>
        </is>
      </c>
      <c r="J122" s="3" t="inlineStr">
        <is>
          <t>Studio Bind</t>
        </is>
      </c>
      <c r="K122" s="7" t="n">
        <v>8.1</v>
      </c>
      <c r="L122" s="8" t="inlineStr">
        <is>
          <t>https://myanimelist.net/anime/51179</t>
        </is>
      </c>
    </row>
    <row r="123" ht="20" customHeight="1">
      <c r="A123" s="9" t="n">
        <v>55888</v>
      </c>
      <c r="B123" s="10" t="inlineStr">
        <is>
          <t>Mushoku Tensei II: Isekai Ittara Honki Dasu Part 2</t>
        </is>
      </c>
      <c r="C123" s="11" t="inlineStr">
        <is>
          <t>TV</t>
        </is>
      </c>
      <c r="D123" s="12" t="n">
        <v>12</v>
      </c>
      <c r="E123" s="12" t="n">
        <v>12</v>
      </c>
      <c r="F123" s="13">
        <f>IF(D123&gt;0, E123/D123, IF(H123="Completed", 1, 0))</f>
        <v/>
      </c>
      <c r="G123" s="9" t="n">
        <v>8</v>
      </c>
      <c r="H123" s="11" t="inlineStr">
        <is>
          <t>Completed</t>
        </is>
      </c>
      <c r="I123" s="10" t="inlineStr">
        <is>
          <t>Adventure, Drama, Ecchi, Fantasy</t>
        </is>
      </c>
      <c r="J123" s="10" t="inlineStr">
        <is>
          <t>Studio Bind</t>
        </is>
      </c>
      <c r="K123" s="14" t="n">
        <v>8.300000000000001</v>
      </c>
      <c r="L123" s="15" t="inlineStr">
        <is>
          <t>https://myanimelist.net/anime/55888</t>
        </is>
      </c>
    </row>
    <row r="124" ht="20" customHeight="1">
      <c r="A124" s="2" t="n">
        <v>39535</v>
      </c>
      <c r="B124" s="3" t="inlineStr">
        <is>
          <t>Mushoku Tensei: Isekai Ittara Honki Dasu</t>
        </is>
      </c>
      <c r="C124" s="4" t="inlineStr">
        <is>
          <t>TV</t>
        </is>
      </c>
      <c r="D124" s="5" t="n">
        <v>11</v>
      </c>
      <c r="E124" s="5" t="n">
        <v>11</v>
      </c>
      <c r="F124" s="6">
        <f>IF(D124&gt;0, E124/D124, IF(H124="Completed", 1, 0))</f>
        <v/>
      </c>
      <c r="G124" s="2" t="n">
        <v>8</v>
      </c>
      <c r="H124" s="4" t="inlineStr">
        <is>
          <t>Completed</t>
        </is>
      </c>
      <c r="I124" s="3" t="inlineStr">
        <is>
          <t>Adventure, Drama, Ecchi, Fantasy</t>
        </is>
      </c>
      <c r="J124" s="3" t="inlineStr">
        <is>
          <t>Studio Bind</t>
        </is>
      </c>
      <c r="K124" s="7" t="n">
        <v>8.199999999999999</v>
      </c>
      <c r="L124" s="8" t="inlineStr">
        <is>
          <t>https://myanimelist.net/anime/39535</t>
        </is>
      </c>
    </row>
    <row r="125" ht="20" customHeight="1">
      <c r="A125" s="9" t="n">
        <v>45576</v>
      </c>
      <c r="B125" s="10" t="inlineStr">
        <is>
          <t>Mushoku Tensei: Isekai Ittara Honki Dasu Part 2</t>
        </is>
      </c>
      <c r="C125" s="11" t="inlineStr">
        <is>
          <t>TV</t>
        </is>
      </c>
      <c r="D125" s="12" t="n">
        <v>12</v>
      </c>
      <c r="E125" s="12" t="n">
        <v>12</v>
      </c>
      <c r="F125" s="13">
        <f>IF(D125&gt;0, E125/D125, IF(H125="Completed", 1, 0))</f>
        <v/>
      </c>
      <c r="G125" s="9" t="n">
        <v>9</v>
      </c>
      <c r="H125" s="11" t="inlineStr">
        <is>
          <t>Completed</t>
        </is>
      </c>
      <c r="I125" s="10" t="inlineStr">
        <is>
          <t>Adventure, Drama, Ecchi, Fantasy</t>
        </is>
      </c>
      <c r="J125" s="10" t="inlineStr">
        <is>
          <t>Studio Bind</t>
        </is>
      </c>
      <c r="K125" s="14" t="n">
        <v>8.5</v>
      </c>
      <c r="L125" s="15" t="inlineStr">
        <is>
          <t>https://myanimelist.net/anime/45576</t>
        </is>
      </c>
    </row>
    <row r="126" ht="20" customHeight="1">
      <c r="A126" s="2" t="n">
        <v>41168</v>
      </c>
      <c r="B126" s="3" t="inlineStr">
        <is>
          <t>Nakitai Watashi wa Neko wo Kaburu</t>
        </is>
      </c>
      <c r="C126" s="4" t="inlineStr">
        <is>
          <t>ONA</t>
        </is>
      </c>
      <c r="D126" s="5" t="n">
        <v>1</v>
      </c>
      <c r="E126" s="5" t="n">
        <v>1</v>
      </c>
      <c r="F126" s="6">
        <f>IF(D126&gt;0, E126/D126, IF(H126="Completed", 1, 0))</f>
        <v/>
      </c>
      <c r="G126" s="2" t="n">
        <v>6</v>
      </c>
      <c r="H126" s="4" t="inlineStr">
        <is>
          <t>Completed</t>
        </is>
      </c>
      <c r="I126" s="3" t="inlineStr">
        <is>
          <t>Drama, Fantasy, Romance</t>
        </is>
      </c>
      <c r="J126" s="3" t="inlineStr">
        <is>
          <t>Studio Colorido</t>
        </is>
      </c>
      <c r="K126" s="7" t="n">
        <v>7.3</v>
      </c>
      <c r="L126" s="8" t="inlineStr">
        <is>
          <t>https://myanimelist.net/anime/41168</t>
        </is>
      </c>
    </row>
    <row r="127" ht="20" customHeight="1">
      <c r="A127" s="9" t="n">
        <v>20</v>
      </c>
      <c r="B127" s="10" t="inlineStr">
        <is>
          <t>Naruto</t>
        </is>
      </c>
      <c r="C127" s="11" t="inlineStr">
        <is>
          <t>TV</t>
        </is>
      </c>
      <c r="D127" s="12" t="n">
        <v>220</v>
      </c>
      <c r="E127" s="12" t="n">
        <v>220</v>
      </c>
      <c r="F127" s="13">
        <f>IF(D127&gt;0, E127/D127, IF(H127="Completed", 1, 0))</f>
        <v/>
      </c>
      <c r="G127" s="9" t="n">
        <v>7</v>
      </c>
      <c r="H127" s="11" t="inlineStr">
        <is>
          <t>Completed</t>
        </is>
      </c>
      <c r="I127" s="10" t="inlineStr">
        <is>
          <t>Action, Adventure, Comedy, Drama, Fantasy, Supernatural</t>
        </is>
      </c>
      <c r="J127" s="10" t="inlineStr">
        <is>
          <t>Studio Pierrot</t>
        </is>
      </c>
      <c r="K127" s="14" t="n">
        <v>8</v>
      </c>
      <c r="L127" s="15" t="inlineStr">
        <is>
          <t>https://myanimelist.net/anime/20</t>
        </is>
      </c>
    </row>
    <row r="128" ht="20" customHeight="1">
      <c r="A128" s="2" t="n">
        <v>15689</v>
      </c>
      <c r="B128" s="3" t="inlineStr">
        <is>
          <t>Nekomonogatari: Kuro</t>
        </is>
      </c>
      <c r="C128" s="4" t="inlineStr">
        <is>
          <t>TV Special</t>
        </is>
      </c>
      <c r="D128" s="5" t="n">
        <v>4</v>
      </c>
      <c r="E128" s="5" t="n">
        <v>4</v>
      </c>
      <c r="F128" s="6">
        <f>IF(D128&gt;0, E128/D128, IF(H128="Completed", 1, 0))</f>
        <v/>
      </c>
      <c r="G128" s="2" t="n">
        <v>7</v>
      </c>
      <c r="H128" s="4" t="inlineStr">
        <is>
          <t>Completed</t>
        </is>
      </c>
      <c r="I128" s="3" t="inlineStr">
        <is>
          <t>Drama, Mystery, Psychological, Romance, Supernatural</t>
        </is>
      </c>
      <c r="J128" s="3" t="inlineStr">
        <is>
          <t>Shaft</t>
        </is>
      </c>
      <c r="K128" s="7" t="n">
        <v>7.7</v>
      </c>
      <c r="L128" s="8" t="inlineStr">
        <is>
          <t>https://myanimelist.net/anime/15689</t>
        </is>
      </c>
    </row>
    <row r="129" ht="20" customHeight="1">
      <c r="A129" s="9" t="n">
        <v>1210</v>
      </c>
      <c r="B129" s="10" t="inlineStr">
        <is>
          <t>NHK ni Youkoso!</t>
        </is>
      </c>
      <c r="C129" s="11" t="inlineStr">
        <is>
          <t>TV</t>
        </is>
      </c>
      <c r="D129" s="12" t="n">
        <v>24</v>
      </c>
      <c r="E129" s="12" t="n">
        <v>24</v>
      </c>
      <c r="F129" s="13">
        <f>IF(D129&gt;0, E129/D129, IF(H129="Completed", 1, 0))</f>
        <v/>
      </c>
      <c r="G129" s="9" t="n">
        <v>9</v>
      </c>
      <c r="H129" s="11" t="inlineStr">
        <is>
          <t>Completed</t>
        </is>
      </c>
      <c r="I129" s="10" t="inlineStr">
        <is>
          <t>Comedy, Drama, Psychological, Romance, Slice of Life</t>
        </is>
      </c>
      <c r="J129" s="10" t="inlineStr">
        <is>
          <t>GONZO</t>
        </is>
      </c>
      <c r="K129" s="14" t="n">
        <v>8.199999999999999</v>
      </c>
      <c r="L129" s="15" t="inlineStr">
        <is>
          <t>https://myanimelist.net/anime/1210</t>
        </is>
      </c>
    </row>
    <row r="130" ht="20" customHeight="1">
      <c r="A130" s="2" t="n">
        <v>18897</v>
      </c>
      <c r="B130" s="3" t="inlineStr">
        <is>
          <t>Nisekoi</t>
        </is>
      </c>
      <c r="C130" s="4" t="inlineStr">
        <is>
          <t>TV</t>
        </is>
      </c>
      <c r="D130" s="5" t="n">
        <v>20</v>
      </c>
      <c r="E130" s="5" t="n">
        <v>20</v>
      </c>
      <c r="F130" s="6">
        <f>IF(D130&gt;0, E130/D130, IF(H130="Completed", 1, 0))</f>
        <v/>
      </c>
      <c r="G130" s="2" t="n">
        <v>8</v>
      </c>
      <c r="H130" s="4" t="inlineStr">
        <is>
          <t>Completed</t>
        </is>
      </c>
      <c r="I130" s="3" t="inlineStr">
        <is>
          <t>Comedy, Romance, Slice of Life</t>
        </is>
      </c>
      <c r="J130" s="3" t="inlineStr">
        <is>
          <t>Shaft</t>
        </is>
      </c>
      <c r="K130" s="7" t="n">
        <v>7.3</v>
      </c>
      <c r="L130" s="8" t="inlineStr">
        <is>
          <t>https://myanimelist.net/anime/18897</t>
        </is>
      </c>
    </row>
    <row r="131" ht="20" customHeight="1">
      <c r="A131" s="9" t="n">
        <v>27787</v>
      </c>
      <c r="B131" s="10" t="inlineStr">
        <is>
          <t>Nisekoi:</t>
        </is>
      </c>
      <c r="C131" s="11" t="inlineStr">
        <is>
          <t>TV</t>
        </is>
      </c>
      <c r="D131" s="12" t="n">
        <v>12</v>
      </c>
      <c r="E131" s="12" t="n">
        <v>12</v>
      </c>
      <c r="F131" s="13">
        <f>IF(D131&gt;0, E131/D131, IF(H131="Completed", 1, 0))</f>
        <v/>
      </c>
      <c r="G131" s="9" t="n">
        <v>6</v>
      </c>
      <c r="H131" s="11" t="inlineStr">
        <is>
          <t>Completed</t>
        </is>
      </c>
      <c r="I131" s="10" t="inlineStr">
        <is>
          <t>Comedy, Romance, Slice of Life</t>
        </is>
      </c>
      <c r="J131" s="10" t="inlineStr">
        <is>
          <t>Shaft</t>
        </is>
      </c>
      <c r="K131" s="14" t="n">
        <v>7.1</v>
      </c>
      <c r="L131" s="15" t="inlineStr">
        <is>
          <t>https://myanimelist.net/anime/27787</t>
        </is>
      </c>
    </row>
    <row r="132" ht="20" customHeight="1">
      <c r="A132" s="2" t="n">
        <v>11597</v>
      </c>
      <c r="B132" s="3" t="inlineStr">
        <is>
          <t>Nisemonogatari</t>
        </is>
      </c>
      <c r="C132" s="4" t="inlineStr">
        <is>
          <t>TV</t>
        </is>
      </c>
      <c r="D132" s="5" t="n">
        <v>11</v>
      </c>
      <c r="E132" s="5" t="n">
        <v>11</v>
      </c>
      <c r="F132" s="6">
        <f>IF(D132&gt;0, E132/D132, IF(H132="Completed", 1, 0))</f>
        <v/>
      </c>
      <c r="G132" s="2" t="n">
        <v>8</v>
      </c>
      <c r="H132" s="4" t="inlineStr">
        <is>
          <t>Completed</t>
        </is>
      </c>
      <c r="I132" s="3" t="inlineStr">
        <is>
          <t>Comedy, Drama, Ecchi, Mystery, Psychological, Supernatural</t>
        </is>
      </c>
      <c r="J132" s="3" t="inlineStr">
        <is>
          <t>Shaft</t>
        </is>
      </c>
      <c r="K132" s="7" t="n">
        <v>7.9</v>
      </c>
      <c r="L132" s="8" t="inlineStr">
        <is>
          <t>https://myanimelist.net/anime/11597</t>
        </is>
      </c>
    </row>
    <row r="133" ht="20" customHeight="1">
      <c r="A133" s="9" t="n">
        <v>19815</v>
      </c>
      <c r="B133" s="10" t="inlineStr">
        <is>
          <t>No Game No Life</t>
        </is>
      </c>
      <c r="C133" s="11" t="inlineStr">
        <is>
          <t>TV</t>
        </is>
      </c>
      <c r="D133" s="12" t="n">
        <v>12</v>
      </c>
      <c r="E133" s="12" t="n">
        <v>12</v>
      </c>
      <c r="F133" s="13">
        <f>IF(D133&gt;0, E133/D133, IF(H133="Completed", 1, 0))</f>
        <v/>
      </c>
      <c r="G133" s="9" t="n">
        <v>8</v>
      </c>
      <c r="H133" s="11" t="inlineStr">
        <is>
          <t>Completed</t>
        </is>
      </c>
      <c r="I133" s="10" t="inlineStr">
        <is>
          <t>Adventure, Comedy, Ecchi, Fantasy</t>
        </is>
      </c>
      <c r="J133" s="10" t="inlineStr">
        <is>
          <t>MADHOUSE</t>
        </is>
      </c>
      <c r="K133" s="14" t="n">
        <v>7.7</v>
      </c>
      <c r="L133" s="15" t="inlineStr">
        <is>
          <t>https://myanimelist.net/anime/19815</t>
        </is>
      </c>
    </row>
    <row r="134" ht="20" customHeight="1">
      <c r="A134" s="2" t="n">
        <v>20507</v>
      </c>
      <c r="B134" s="3" t="inlineStr">
        <is>
          <t>Noragami</t>
        </is>
      </c>
      <c r="C134" s="4" t="inlineStr">
        <is>
          <t>TV</t>
        </is>
      </c>
      <c r="D134" s="5" t="n">
        <v>12</v>
      </c>
      <c r="E134" s="5" t="n">
        <v>12</v>
      </c>
      <c r="F134" s="6">
        <f>IF(D134&gt;0, E134/D134, IF(H134="Completed", 1, 0))</f>
        <v/>
      </c>
      <c r="G134" s="2" t="n">
        <v>7</v>
      </c>
      <c r="H134" s="4" t="inlineStr">
        <is>
          <t>Completed</t>
        </is>
      </c>
      <c r="I134" s="3" t="inlineStr">
        <is>
          <t>Action, Adventure, Comedy, Supernatural</t>
        </is>
      </c>
      <c r="J134" s="3" t="inlineStr">
        <is>
          <t>bones</t>
        </is>
      </c>
      <c r="K134" s="7" t="n">
        <v>7.8</v>
      </c>
      <c r="L134" s="8" t="inlineStr">
        <is>
          <t>https://myanimelist.net/anime/20507</t>
        </is>
      </c>
    </row>
    <row r="135" ht="20" customHeight="1">
      <c r="A135" s="9" t="n">
        <v>30503</v>
      </c>
      <c r="B135" s="10" t="inlineStr">
        <is>
          <t>Noragami Aragoto</t>
        </is>
      </c>
      <c r="C135" s="11" t="inlineStr">
        <is>
          <t>TV</t>
        </is>
      </c>
      <c r="D135" s="12" t="n">
        <v>13</v>
      </c>
      <c r="E135" s="12" t="n">
        <v>13</v>
      </c>
      <c r="F135" s="13">
        <f>IF(D135&gt;0, E135/D135, IF(H135="Completed", 1, 0))</f>
        <v/>
      </c>
      <c r="G135" s="9" t="n">
        <v>7</v>
      </c>
      <c r="H135" s="11" t="inlineStr">
        <is>
          <t>Completed</t>
        </is>
      </c>
      <c r="I135" s="10" t="inlineStr">
        <is>
          <t>Action, Adventure, Comedy, Supernatural</t>
        </is>
      </c>
      <c r="J135" s="10" t="inlineStr">
        <is>
          <t>bones</t>
        </is>
      </c>
      <c r="K135" s="14" t="n">
        <v>8</v>
      </c>
      <c r="L135" s="15" t="inlineStr">
        <is>
          <t>https://myanimelist.net/anime/30503</t>
        </is>
      </c>
    </row>
    <row r="136" ht="20" customHeight="1">
      <c r="A136" s="2" t="n">
        <v>46102</v>
      </c>
      <c r="B136" s="3" t="inlineStr">
        <is>
          <t>Odd Taxi</t>
        </is>
      </c>
      <c r="C136" s="4" t="inlineStr">
        <is>
          <t>TV</t>
        </is>
      </c>
      <c r="D136" s="5" t="n">
        <v>13</v>
      </c>
      <c r="E136" s="5" t="n">
        <v>13</v>
      </c>
      <c r="F136" s="6">
        <f>IF(D136&gt;0, E136/D136, IF(H136="Completed", 1, 0))</f>
        <v/>
      </c>
      <c r="G136" s="2" t="n">
        <v>9</v>
      </c>
      <c r="H136" s="4" t="inlineStr">
        <is>
          <t>Completed</t>
        </is>
      </c>
      <c r="I136" s="3" t="inlineStr">
        <is>
          <t>Drama, Mystery, Psychological, Thriller</t>
        </is>
      </c>
      <c r="J136" s="3" t="inlineStr">
        <is>
          <t>OLM</t>
        </is>
      </c>
      <c r="K136" s="7" t="n">
        <v>8.5</v>
      </c>
      <c r="L136" s="8" t="inlineStr">
        <is>
          <t>https://myanimelist.net/anime/46102</t>
        </is>
      </c>
    </row>
    <row r="137" ht="20" customHeight="1">
      <c r="A137" s="9" t="n">
        <v>30276</v>
      </c>
      <c r="B137" s="10" t="inlineStr">
        <is>
          <t>One Punch Man</t>
        </is>
      </c>
      <c r="C137" s="11" t="inlineStr">
        <is>
          <t>TV</t>
        </is>
      </c>
      <c r="D137" s="12" t="n">
        <v>12</v>
      </c>
      <c r="E137" s="12" t="n">
        <v>12</v>
      </c>
      <c r="F137" s="13">
        <f>IF(D137&gt;0, E137/D137, IF(H137="Completed", 1, 0))</f>
        <v/>
      </c>
      <c r="G137" s="9" t="n">
        <v>8</v>
      </c>
      <c r="H137" s="11" t="inlineStr">
        <is>
          <t>Completed</t>
        </is>
      </c>
      <c r="I137" s="10" t="inlineStr">
        <is>
          <t>Action, Comedy, Sci-Fi, Supernatural</t>
        </is>
      </c>
      <c r="J137" s="10" t="inlineStr">
        <is>
          <t>MADHOUSE</t>
        </is>
      </c>
      <c r="K137" s="14" t="n">
        <v>8.300000000000001</v>
      </c>
      <c r="L137" s="15" t="inlineStr">
        <is>
          <t>https://myanimelist.net/anime/30276</t>
        </is>
      </c>
    </row>
    <row r="138" ht="20" customHeight="1">
      <c r="A138" s="2" t="n">
        <v>34134</v>
      </c>
      <c r="B138" s="3" t="inlineStr">
        <is>
          <t>One Punch Man 2nd Season</t>
        </is>
      </c>
      <c r="C138" s="4" t="inlineStr">
        <is>
          <t>TV</t>
        </is>
      </c>
      <c r="D138" s="5" t="n">
        <v>12</v>
      </c>
      <c r="E138" s="5" t="n">
        <v>12</v>
      </c>
      <c r="F138" s="6">
        <f>IF(D138&gt;0, E138/D138, IF(H138="Completed", 1, 0))</f>
        <v/>
      </c>
      <c r="G138" s="2" t="n">
        <v>5</v>
      </c>
      <c r="H138" s="4" t="inlineStr">
        <is>
          <t>Completed</t>
        </is>
      </c>
      <c r="I138" s="3" t="inlineStr">
        <is>
          <t>Action, Comedy, Sci-Fi, Supernatural</t>
        </is>
      </c>
      <c r="J138" s="3" t="inlineStr">
        <is>
          <t>J.C.STAFF</t>
        </is>
      </c>
      <c r="K138" s="7" t="n">
        <v>7.4</v>
      </c>
      <c r="L138" s="8" t="inlineStr">
        <is>
          <t>https://myanimelist.net/anime/34134</t>
        </is>
      </c>
    </row>
    <row r="139" ht="20" customHeight="1">
      <c r="A139" s="9" t="n">
        <v>12355</v>
      </c>
      <c r="B139" s="10" t="inlineStr">
        <is>
          <t>Ookami Kodomo no Ame to Yuki</t>
        </is>
      </c>
      <c r="C139" s="11" t="inlineStr">
        <is>
          <t>Movie</t>
        </is>
      </c>
      <c r="D139" s="12" t="n">
        <v>1</v>
      </c>
      <c r="E139" s="12" t="n">
        <v>1</v>
      </c>
      <c r="F139" s="13">
        <f>IF(D139&gt;0, E139/D139, IF(H139="Completed", 1, 0))</f>
        <v/>
      </c>
      <c r="G139" s="9" t="n">
        <v>8</v>
      </c>
      <c r="H139" s="11" t="inlineStr">
        <is>
          <t>Completed</t>
        </is>
      </c>
      <c r="I139" s="10" t="inlineStr">
        <is>
          <t>Drama, Fantasy, Romance, Slice of Life</t>
        </is>
      </c>
      <c r="J139" s="10" t="inlineStr">
        <is>
          <t>MADHOUSE</t>
        </is>
      </c>
      <c r="K139" s="14" t="n">
        <v>8.300000000000001</v>
      </c>
      <c r="L139" s="15" t="inlineStr">
        <is>
          <t>https://myanimelist.net/anime/12355</t>
        </is>
      </c>
    </row>
    <row r="140" ht="20" customHeight="1">
      <c r="A140" s="2" t="n">
        <v>32729</v>
      </c>
      <c r="B140" s="3" t="inlineStr">
        <is>
          <t>Orange</t>
        </is>
      </c>
      <c r="C140" s="4" t="inlineStr">
        <is>
          <t>TV</t>
        </is>
      </c>
      <c r="D140" s="5" t="n">
        <v>13</v>
      </c>
      <c r="E140" s="5" t="n">
        <v>13</v>
      </c>
      <c r="F140" s="6">
        <f>IF(D140&gt;0, E140/D140, IF(H140="Completed", 1, 0))</f>
        <v/>
      </c>
      <c r="G140" s="2" t="n">
        <v>4</v>
      </c>
      <c r="H140" s="4" t="inlineStr">
        <is>
          <t>Completed</t>
        </is>
      </c>
      <c r="I140" s="3" t="inlineStr">
        <is>
          <t>Drama, Romance, Supernatural</t>
        </is>
      </c>
      <c r="J140" s="3" t="inlineStr">
        <is>
          <t>Telecom Animation Film</t>
        </is>
      </c>
      <c r="K140" s="7" t="n">
        <v>7.5</v>
      </c>
      <c r="L140" s="8" t="inlineStr">
        <is>
          <t>https://myanimelist.net/anime/32729</t>
        </is>
      </c>
    </row>
    <row r="141" ht="20" customHeight="1">
      <c r="A141" s="9" t="n">
        <v>52299</v>
      </c>
      <c r="B141" s="10" t="inlineStr">
        <is>
          <t>Ore dake Level Up na Ken</t>
        </is>
      </c>
      <c r="C141" s="11" t="inlineStr">
        <is>
          <t>TV</t>
        </is>
      </c>
      <c r="D141" s="12" t="n">
        <v>12</v>
      </c>
      <c r="E141" s="12" t="n">
        <v>12</v>
      </c>
      <c r="F141" s="13">
        <f>IF(D141&gt;0, E141/D141, IF(H141="Completed", 1, 0))</f>
        <v/>
      </c>
      <c r="G141" s="9" t="n">
        <v>7</v>
      </c>
      <c r="H141" s="11" t="inlineStr">
        <is>
          <t>Completed</t>
        </is>
      </c>
      <c r="I141" s="10" t="inlineStr">
        <is>
          <t>Action, Adventure, Fantasy</t>
        </is>
      </c>
      <c r="J141" s="10" t="inlineStr">
        <is>
          <t>A-1 Pictures</t>
        </is>
      </c>
      <c r="K141" s="14" t="n">
        <v>8</v>
      </c>
      <c r="L141" s="15" t="inlineStr">
        <is>
          <t>https://myanimelist.net/anime/52299</t>
        </is>
      </c>
    </row>
    <row r="142" ht="20" customHeight="1">
      <c r="A142" s="2" t="n">
        <v>40834</v>
      </c>
      <c r="B142" s="3" t="inlineStr">
        <is>
          <t>Ousama Ranking</t>
        </is>
      </c>
      <c r="C142" s="4" t="inlineStr">
        <is>
          <t>TV</t>
        </is>
      </c>
      <c r="D142" s="5" t="n">
        <v>23</v>
      </c>
      <c r="E142" s="5" t="n">
        <v>3</v>
      </c>
      <c r="F142" s="6">
        <f>IF(D142&gt;0, E142/D142, IF(H142="Completed", 1, 0))</f>
        <v/>
      </c>
      <c r="G142" s="2" t="n">
        <v>8</v>
      </c>
      <c r="H142" s="4" t="inlineStr">
        <is>
          <t>Watching</t>
        </is>
      </c>
      <c r="I142" s="3" t="inlineStr">
        <is>
          <t>Action, Adventure, Drama, Fantasy</t>
        </is>
      </c>
      <c r="J142" s="3" t="inlineStr">
        <is>
          <t>WIT STUDIO</t>
        </is>
      </c>
      <c r="K142" s="7" t="n">
        <v>8.300000000000001</v>
      </c>
      <c r="L142" s="8" t="inlineStr">
        <is>
          <t>https://myanimelist.net/anime/40834</t>
        </is>
      </c>
    </row>
    <row r="143" ht="20" customHeight="1">
      <c r="A143" s="9" t="n">
        <v>31181</v>
      </c>
      <c r="B143" s="10" t="inlineStr">
        <is>
          <t>Owarimonogatari</t>
        </is>
      </c>
      <c r="C143" s="11" t="inlineStr">
        <is>
          <t>TV</t>
        </is>
      </c>
      <c r="D143" s="12" t="n">
        <v>12</v>
      </c>
      <c r="E143" s="12" t="n">
        <v>12</v>
      </c>
      <c r="F143" s="13">
        <f>IF(D143&gt;0, E143/D143, IF(H143="Completed", 1, 0))</f>
        <v/>
      </c>
      <c r="G143" s="9" t="n">
        <v>7</v>
      </c>
      <c r="H143" s="11" t="inlineStr">
        <is>
          <t>Completed</t>
        </is>
      </c>
      <c r="I143" s="10" t="inlineStr">
        <is>
          <t>Drama, Mystery, Psychological, Supernatural</t>
        </is>
      </c>
      <c r="J143" s="10" t="inlineStr">
        <is>
          <t>Shaft</t>
        </is>
      </c>
      <c r="K143" s="14" t="n">
        <v>8.5</v>
      </c>
      <c r="L143" s="15" t="inlineStr">
        <is>
          <t>https://myanimelist.net/anime/31181</t>
        </is>
      </c>
    </row>
    <row r="144" ht="20" customHeight="1">
      <c r="A144" s="2" t="n">
        <v>35247</v>
      </c>
      <c r="B144" s="3" t="inlineStr">
        <is>
          <t>Owarimonogatari 2nd Season</t>
        </is>
      </c>
      <c r="C144" s="4" t="inlineStr">
        <is>
          <t>TV Special</t>
        </is>
      </c>
      <c r="D144" s="5" t="n">
        <v>7</v>
      </c>
      <c r="E144" s="5" t="n">
        <v>7</v>
      </c>
      <c r="F144" s="6">
        <f>IF(D144&gt;0, E144/D144, IF(H144="Completed", 1, 0))</f>
        <v/>
      </c>
      <c r="G144" s="2" t="n">
        <v>8</v>
      </c>
      <c r="H144" s="4" t="inlineStr">
        <is>
          <t>Completed</t>
        </is>
      </c>
      <c r="I144" s="3" t="inlineStr">
        <is>
          <t>Comedy, Mystery, Psychological, Romance, Supernatural</t>
        </is>
      </c>
      <c r="J144" s="3" t="inlineStr">
        <is>
          <t>Shaft</t>
        </is>
      </c>
      <c r="K144" s="7" t="n">
        <v>8.9</v>
      </c>
      <c r="L144" s="8" t="inlineStr">
        <is>
          <t>https://myanimelist.net/anime/35247</t>
        </is>
      </c>
    </row>
    <row r="145" ht="20" customHeight="1">
      <c r="A145" s="9" t="n">
        <v>437</v>
      </c>
      <c r="B145" s="10" t="inlineStr">
        <is>
          <t>Perfect Blue</t>
        </is>
      </c>
      <c r="C145" s="11" t="inlineStr">
        <is>
          <t>Movie</t>
        </is>
      </c>
      <c r="D145" s="12" t="n">
        <v>1</v>
      </c>
      <c r="E145" s="12" t="n">
        <v>1</v>
      </c>
      <c r="F145" s="13">
        <f>IF(D145&gt;0, E145/D145, IF(H145="Completed", 1, 0))</f>
        <v/>
      </c>
      <c r="G145" s="9" t="n">
        <v>9</v>
      </c>
      <c r="H145" s="11" t="inlineStr">
        <is>
          <t>Completed</t>
        </is>
      </c>
      <c r="I145" s="10" t="inlineStr">
        <is>
          <t>Drama, Horror, Psychological, Thriller</t>
        </is>
      </c>
      <c r="J145" s="10" t="inlineStr">
        <is>
          <t>MADHOUSE</t>
        </is>
      </c>
      <c r="K145" s="14" t="n">
        <v>8.5</v>
      </c>
      <c r="L145" s="15" t="inlineStr">
        <is>
          <t>https://myanimelist.net/anime/437</t>
        </is>
      </c>
    </row>
    <row r="146" ht="20" customHeight="1">
      <c r="A146" s="2" t="n">
        <v>27775</v>
      </c>
      <c r="B146" s="3" t="inlineStr">
        <is>
          <t>Plastic Memories</t>
        </is>
      </c>
      <c r="C146" s="4" t="inlineStr">
        <is>
          <t>TV</t>
        </is>
      </c>
      <c r="D146" s="5" t="n">
        <v>13</v>
      </c>
      <c r="E146" s="5" t="n">
        <v>13</v>
      </c>
      <c r="F146" s="6">
        <f>IF(D146&gt;0, E146/D146, IF(H146="Completed", 1, 0))</f>
        <v/>
      </c>
      <c r="G146" s="2" t="n">
        <v>7</v>
      </c>
      <c r="H146" s="4" t="inlineStr">
        <is>
          <t>Completed</t>
        </is>
      </c>
      <c r="I146" s="3" t="inlineStr">
        <is>
          <t>Drama, Romance, Sci-Fi, Slice of Life</t>
        </is>
      </c>
      <c r="J146" s="3" t="inlineStr">
        <is>
          <t>Doga Kobo</t>
        </is>
      </c>
      <c r="K146" s="7" t="n">
        <v>7.7</v>
      </c>
      <c r="L146" s="8" t="inlineStr">
        <is>
          <t>https://myanimelist.net/anime/27775</t>
        </is>
      </c>
    </row>
    <row r="147" ht="20" customHeight="1">
      <c r="A147" s="9" t="n">
        <v>31240</v>
      </c>
      <c r="B147" s="10" t="inlineStr">
        <is>
          <t>Re:Zero kara Hajimeru Isekai Seikatsu</t>
        </is>
      </c>
      <c r="C147" s="11" t="inlineStr">
        <is>
          <t>TV</t>
        </is>
      </c>
      <c r="D147" s="12" t="n">
        <v>25</v>
      </c>
      <c r="E147" s="12" t="n">
        <v>25</v>
      </c>
      <c r="F147" s="13">
        <f>IF(D147&gt;0, E147/D147, IF(H147="Completed", 1, 0))</f>
        <v/>
      </c>
      <c r="G147" s="9" t="n">
        <v>8</v>
      </c>
      <c r="H147" s="11" t="inlineStr">
        <is>
          <t>Completed</t>
        </is>
      </c>
      <c r="I147" s="10" t="inlineStr">
        <is>
          <t>Action, Adventure, Drama, Fantasy, Psychological, Romance, Thriller</t>
        </is>
      </c>
      <c r="J147" s="10" t="inlineStr">
        <is>
          <t>WHITE FOX</t>
        </is>
      </c>
      <c r="K147" s="14" t="n">
        <v>8.1</v>
      </c>
      <c r="L147" s="15" t="inlineStr">
        <is>
          <t>https://myanimelist.net/anime/31240</t>
        </is>
      </c>
    </row>
    <row r="148" ht="20" customHeight="1">
      <c r="A148" s="2" t="n">
        <v>30015</v>
      </c>
      <c r="B148" s="3" t="inlineStr">
        <is>
          <t>ReLIFE</t>
        </is>
      </c>
      <c r="C148" s="4" t="inlineStr">
        <is>
          <t>TV</t>
        </is>
      </c>
      <c r="D148" s="5" t="n">
        <v>13</v>
      </c>
      <c r="E148" s="5" t="n">
        <v>13</v>
      </c>
      <c r="F148" s="6">
        <f>IF(D148&gt;0, E148/D148, IF(H148="Completed", 1, 0))</f>
        <v/>
      </c>
      <c r="G148" s="2" t="n">
        <v>7</v>
      </c>
      <c r="H148" s="4" t="inlineStr">
        <is>
          <t>Completed</t>
        </is>
      </c>
      <c r="I148" s="3" t="inlineStr">
        <is>
          <t>Comedy, Drama, Romance, Slice of Life</t>
        </is>
      </c>
      <c r="J148" s="3" t="inlineStr">
        <is>
          <t>TMS Entertainment</t>
        </is>
      </c>
      <c r="K148" s="7" t="n">
        <v>7.8</v>
      </c>
      <c r="L148" s="8" t="inlineStr">
        <is>
          <t>https://myanimelist.net/anime/30015</t>
        </is>
      </c>
    </row>
    <row r="149" ht="20" customHeight="1">
      <c r="A149" s="9" t="n">
        <v>35466</v>
      </c>
      <c r="B149" s="10" t="inlineStr">
        <is>
          <t>ReLIFE: Kanketsu-hen</t>
        </is>
      </c>
      <c r="C149" s="11" t="inlineStr">
        <is>
          <t>Special</t>
        </is>
      </c>
      <c r="D149" s="12" t="n">
        <v>4</v>
      </c>
      <c r="E149" s="12" t="n">
        <v>4</v>
      </c>
      <c r="F149" s="13">
        <f>IF(D149&gt;0, E149/D149, IF(H149="Completed", 1, 0))</f>
        <v/>
      </c>
      <c r="G149" s="9" t="n">
        <v>8</v>
      </c>
      <c r="H149" s="11" t="inlineStr">
        <is>
          <t>Completed</t>
        </is>
      </c>
      <c r="I149" s="10" t="inlineStr">
        <is>
          <t>Comedy, Drama, Romance, Slice of Life</t>
        </is>
      </c>
      <c r="J149" s="10" t="inlineStr">
        <is>
          <t>TMS Entertainment</t>
        </is>
      </c>
      <c r="K149" s="14" t="n">
        <v>8.1</v>
      </c>
      <c r="L149" s="15" t="inlineStr">
        <is>
          <t>https://myanimelist.net/anime/35466</t>
        </is>
      </c>
    </row>
    <row r="150" ht="20" customHeight="1">
      <c r="A150" s="2" t="n">
        <v>23277</v>
      </c>
      <c r="B150" s="3" t="inlineStr">
        <is>
          <t>Saenai Heroine no Sodatekata</t>
        </is>
      </c>
      <c r="C150" s="4" t="inlineStr">
        <is>
          <t>TV</t>
        </is>
      </c>
      <c r="D150" s="5" t="n">
        <v>12</v>
      </c>
      <c r="E150" s="5" t="n">
        <v>12</v>
      </c>
      <c r="F150" s="6">
        <f>IF(D150&gt;0, E150/D150, IF(H150="Completed", 1, 0))</f>
        <v/>
      </c>
      <c r="G150" s="2" t="n">
        <v>7</v>
      </c>
      <c r="H150" s="4" t="inlineStr">
        <is>
          <t>Completed</t>
        </is>
      </c>
      <c r="I150" s="3" t="inlineStr">
        <is>
          <t>Comedy, Romance, Slice of Life</t>
        </is>
      </c>
      <c r="J150" s="3" t="inlineStr">
        <is>
          <t>A-1 Pictures</t>
        </is>
      </c>
      <c r="K150" s="7" t="n">
        <v>7.3</v>
      </c>
      <c r="L150" s="8" t="inlineStr">
        <is>
          <t>https://myanimelist.net/anime/23277</t>
        </is>
      </c>
    </row>
    <row r="151" ht="20" customHeight="1">
      <c r="A151" s="9" t="n">
        <v>30727</v>
      </c>
      <c r="B151" s="10" t="inlineStr">
        <is>
          <t>Saenai Heroine no Sodatekata ♭</t>
        </is>
      </c>
      <c r="C151" s="11" t="inlineStr">
        <is>
          <t>TV</t>
        </is>
      </c>
      <c r="D151" s="12" t="n">
        <v>11</v>
      </c>
      <c r="E151" s="12" t="n">
        <v>11</v>
      </c>
      <c r="F151" s="13">
        <f>IF(D151&gt;0, E151/D151, IF(H151="Completed", 1, 0))</f>
        <v/>
      </c>
      <c r="G151" s="9" t="n">
        <v>7</v>
      </c>
      <c r="H151" s="11" t="inlineStr">
        <is>
          <t>Completed</t>
        </is>
      </c>
      <c r="I151" s="10" t="inlineStr">
        <is>
          <t>Comedy, Romance, Slice of Life</t>
        </is>
      </c>
      <c r="J151" s="10" t="inlineStr">
        <is>
          <t>A-1 Pictures</t>
        </is>
      </c>
      <c r="K151" s="14" t="n">
        <v>7.6</v>
      </c>
      <c r="L151" s="15" t="inlineStr">
        <is>
          <t>https://myanimelist.net/anime/30727</t>
        </is>
      </c>
    </row>
    <row r="152" ht="20" customHeight="1">
      <c r="A152" s="2" t="n">
        <v>36885</v>
      </c>
      <c r="B152" s="3" t="inlineStr">
        <is>
          <t>Saenai Heroine no Sodatekata Fine</t>
        </is>
      </c>
      <c r="C152" s="4" t="inlineStr">
        <is>
          <t>Movie</t>
        </is>
      </c>
      <c r="D152" s="5" t="n">
        <v>1</v>
      </c>
      <c r="E152" s="5" t="n">
        <v>1</v>
      </c>
      <c r="F152" s="6">
        <f>IF(D152&gt;0, E152/D152, IF(H152="Completed", 1, 0))</f>
        <v/>
      </c>
      <c r="G152" s="2" t="n">
        <v>7</v>
      </c>
      <c r="H152" s="4" t="inlineStr">
        <is>
          <t>Completed</t>
        </is>
      </c>
      <c r="I152" s="3" t="inlineStr">
        <is>
          <t>Comedy, Romance, Slice of Life</t>
        </is>
      </c>
      <c r="J152" s="3" t="inlineStr">
        <is>
          <t>CloverWorks</t>
        </is>
      </c>
      <c r="K152" s="7" t="n">
        <v>8.300000000000001</v>
      </c>
      <c r="L152" s="8" t="inlineStr">
        <is>
          <t>https://myanimelist.net/anime/36885</t>
        </is>
      </c>
    </row>
    <row r="153" ht="20" customHeight="1">
      <c r="A153" s="9" t="n">
        <v>13759</v>
      </c>
      <c r="B153" s="10" t="inlineStr">
        <is>
          <t>Sakura-sou no Pet na Kanojo</t>
        </is>
      </c>
      <c r="C153" s="11" t="inlineStr">
        <is>
          <t>TV</t>
        </is>
      </c>
      <c r="D153" s="12" t="n">
        <v>24</v>
      </c>
      <c r="E153" s="12" t="n">
        <v>24</v>
      </c>
      <c r="F153" s="13">
        <f>IF(D153&gt;0, E153/D153, IF(H153="Completed", 1, 0))</f>
        <v/>
      </c>
      <c r="G153" s="9" t="n">
        <v>8</v>
      </c>
      <c r="H153" s="11" t="inlineStr">
        <is>
          <t>Completed</t>
        </is>
      </c>
      <c r="I153" s="10" t="inlineStr">
        <is>
          <t>Comedy, Drama, Romance, Slice of Life</t>
        </is>
      </c>
      <c r="J153" s="10" t="inlineStr">
        <is>
          <t>J.C.STAFF</t>
        </is>
      </c>
      <c r="K153" s="14" t="n">
        <v>7.8</v>
      </c>
      <c r="L153" s="15" t="inlineStr">
        <is>
          <t>https://myanimelist.net/anime/13759</t>
        </is>
      </c>
    </row>
    <row r="154" ht="20" customHeight="1">
      <c r="A154" s="2" t="n">
        <v>35851</v>
      </c>
      <c r="B154" s="3" t="inlineStr">
        <is>
          <t>Sayonara no Asa ni Yakusoku no Hana wo Kazarou</t>
        </is>
      </c>
      <c r="C154" s="4" t="inlineStr">
        <is>
          <t>Movie</t>
        </is>
      </c>
      <c r="D154" s="5" t="n">
        <v>1</v>
      </c>
      <c r="E154" s="5" t="n">
        <v>1</v>
      </c>
      <c r="F154" s="6">
        <f>IF(D154&gt;0, E154/D154, IF(H154="Completed", 1, 0))</f>
        <v/>
      </c>
      <c r="G154" s="2" t="n">
        <v>8</v>
      </c>
      <c r="H154" s="4" t="inlineStr">
        <is>
          <t>Completed</t>
        </is>
      </c>
      <c r="I154" s="3" t="inlineStr">
        <is>
          <t>Drama, Fantasy, Psychological</t>
        </is>
      </c>
      <c r="J154" s="3" t="inlineStr">
        <is>
          <t>P.A.WORKS</t>
        </is>
      </c>
      <c r="K154" s="7" t="n">
        <v>8.199999999999999</v>
      </c>
      <c r="L154" s="8" t="inlineStr">
        <is>
          <t>https://myanimelist.net/anime/35851</t>
        </is>
      </c>
    </row>
    <row r="155" ht="20" customHeight="1">
      <c r="A155" s="9" t="n">
        <v>60371</v>
      </c>
      <c r="B155" s="10" t="inlineStr">
        <is>
          <t>Seihantai na Kimi to Boku</t>
        </is>
      </c>
      <c r="C155" s="11" t="inlineStr">
        <is>
          <t>TV</t>
        </is>
      </c>
      <c r="D155" s="12" t="n">
        <v>12</v>
      </c>
      <c r="E155" s="12" t="n">
        <v>12</v>
      </c>
      <c r="F155" s="13">
        <f>IF(D155&gt;0, E155/D155, IF(H155="Completed", 1, 0))</f>
        <v/>
      </c>
      <c r="G155" s="9" t="n">
        <v>8</v>
      </c>
      <c r="H155" s="11" t="inlineStr">
        <is>
          <t>Completed</t>
        </is>
      </c>
      <c r="I155" s="10" t="inlineStr">
        <is>
          <t>Comedy, Romance, Slice of Life</t>
        </is>
      </c>
      <c r="J155" s="10" t="inlineStr">
        <is>
          <t>Lapin Track</t>
        </is>
      </c>
      <c r="K155" s="14" t="n">
        <v>8.300000000000001</v>
      </c>
      <c r="L155" s="15" t="inlineStr">
        <is>
          <t>https://myanimelist.net/anime/60371</t>
        </is>
      </c>
    </row>
    <row r="156" ht="20" customHeight="1">
      <c r="A156" s="2" t="n">
        <v>63832</v>
      </c>
      <c r="B156" s="3" t="inlineStr">
        <is>
          <t>Seihantai na Kimi to Boku 2nd Season</t>
        </is>
      </c>
      <c r="C156" s="4" t="inlineStr">
        <is>
          <t>TV</t>
        </is>
      </c>
      <c r="D156" s="5" t="n">
        <v>13</v>
      </c>
      <c r="E156" s="5" t="n">
        <v>0</v>
      </c>
      <c r="F156" s="6">
        <f>IF(D156&gt;0, E156/D156, IF(H156="Completed", 1, 0))</f>
        <v/>
      </c>
      <c r="G156" s="2" t="n">
        <v>8</v>
      </c>
      <c r="H156" s="4" t="inlineStr">
        <is>
          <t>Watching</t>
        </is>
      </c>
      <c r="I156" s="3" t="inlineStr">
        <is>
          <t>Comedy, Drama, Romance, Slice of Life</t>
        </is>
      </c>
      <c r="J156" s="3" t="inlineStr">
        <is>
          <t>Lapin Track</t>
        </is>
      </c>
      <c r="K156" s="7" t="n">
        <v>8.199999999999999</v>
      </c>
      <c r="L156" s="8" t="inlineStr">
        <is>
          <t>https://myanimelist.net/anime/63832</t>
        </is>
      </c>
    </row>
    <row r="157" ht="20" customHeight="1">
      <c r="A157" s="9" t="n">
        <v>37450</v>
      </c>
      <c r="B157" s="10" t="inlineStr">
        <is>
          <t>Seishun Buta Yarou wa Bunny Girl Senpai no Yume wo Minai</t>
        </is>
      </c>
      <c r="C157" s="11" t="inlineStr">
        <is>
          <t>TV</t>
        </is>
      </c>
      <c r="D157" s="12" t="n">
        <v>13</v>
      </c>
      <c r="E157" s="12" t="n">
        <v>13</v>
      </c>
      <c r="F157" s="13">
        <f>IF(D157&gt;0, E157/D157, IF(H157="Completed", 1, 0))</f>
        <v/>
      </c>
      <c r="G157" s="9" t="n">
        <v>8</v>
      </c>
      <c r="H157" s="11" t="inlineStr">
        <is>
          <t>Completed</t>
        </is>
      </c>
      <c r="I157" s="10" t="inlineStr">
        <is>
          <t>Comedy, Drama, Mystery, Psychological, Romance, Supernatural</t>
        </is>
      </c>
      <c r="J157" s="10" t="inlineStr">
        <is>
          <t>CloverWorks</t>
        </is>
      </c>
      <c r="K157" s="14" t="n">
        <v>8.1</v>
      </c>
      <c r="L157" s="15" t="inlineStr">
        <is>
          <t>https://myanimelist.net/anime/37450</t>
        </is>
      </c>
    </row>
    <row r="158" ht="20" customHeight="1">
      <c r="A158" s="2" t="n">
        <v>38329</v>
      </c>
      <c r="B158" s="3" t="inlineStr">
        <is>
          <t>Seishun Buta Yarou wa Yumemiru Shoujo no Yume wo Minai</t>
        </is>
      </c>
      <c r="C158" s="4" t="inlineStr">
        <is>
          <t>Movie</t>
        </is>
      </c>
      <c r="D158" s="5" t="n">
        <v>1</v>
      </c>
      <c r="E158" s="5" t="n">
        <v>1</v>
      </c>
      <c r="F158" s="6">
        <f>IF(D158&gt;0, E158/D158, IF(H158="Completed", 1, 0))</f>
        <v/>
      </c>
      <c r="G158" s="2" t="n">
        <v>7</v>
      </c>
      <c r="H158" s="4" t="inlineStr">
        <is>
          <t>Completed</t>
        </is>
      </c>
      <c r="I158" s="3" t="inlineStr">
        <is>
          <t>Drama, Psychological, Romance, Supernatural</t>
        </is>
      </c>
      <c r="J158" s="3" t="inlineStr">
        <is>
          <t>CloverWorks</t>
        </is>
      </c>
      <c r="K158" s="7" t="n">
        <v>8.4</v>
      </c>
      <c r="L158" s="8" t="inlineStr">
        <is>
          <t>https://myanimelist.net/anime/38329</t>
        </is>
      </c>
    </row>
    <row r="159" ht="20" customHeight="1">
      <c r="A159" s="9" t="n">
        <v>199</v>
      </c>
      <c r="B159" s="10" t="inlineStr">
        <is>
          <t>Sen to Chihiro no Kamikakushi</t>
        </is>
      </c>
      <c r="C159" s="11" t="inlineStr">
        <is>
          <t>Movie</t>
        </is>
      </c>
      <c r="D159" s="12" t="n">
        <v>1</v>
      </c>
      <c r="E159" s="12" t="n">
        <v>1</v>
      </c>
      <c r="F159" s="13">
        <f>IF(D159&gt;0, E159/D159, IF(H159="Completed", 1, 0))</f>
        <v/>
      </c>
      <c r="G159" s="9" t="n">
        <v>7</v>
      </c>
      <c r="H159" s="11" t="inlineStr">
        <is>
          <t>Completed</t>
        </is>
      </c>
      <c r="I159" s="10" t="inlineStr">
        <is>
          <t>Adventure, Drama, Fantasy, Supernatural</t>
        </is>
      </c>
      <c r="J159" s="10" t="inlineStr">
        <is>
          <t>Studio Ghibli</t>
        </is>
      </c>
      <c r="K159" s="14" t="n">
        <v>8.6</v>
      </c>
      <c r="L159" s="15" t="inlineStr">
        <is>
          <t>https://myanimelist.net/anime/199</t>
        </is>
      </c>
    </row>
    <row r="160" ht="20" customHeight="1">
      <c r="A160" s="2" t="n">
        <v>42351</v>
      </c>
      <c r="B160" s="3" t="inlineStr">
        <is>
          <t>Senpai ga Uzai Kouhai no Hanashi</t>
        </is>
      </c>
      <c r="C160" s="4" t="inlineStr">
        <is>
          <t>TV</t>
        </is>
      </c>
      <c r="D160" s="5" t="n">
        <v>12</v>
      </c>
      <c r="E160" s="5" t="n">
        <v>12</v>
      </c>
      <c r="F160" s="6">
        <f>IF(D160&gt;0, E160/D160, IF(H160="Completed", 1, 0))</f>
        <v/>
      </c>
      <c r="G160" s="2" t="n">
        <v>7</v>
      </c>
      <c r="H160" s="4" t="inlineStr">
        <is>
          <t>Completed</t>
        </is>
      </c>
      <c r="I160" s="3" t="inlineStr">
        <is>
          <t>Comedy, Romance, Slice of Life</t>
        </is>
      </c>
      <c r="J160" s="3" t="inlineStr">
        <is>
          <t>Doga Kobo</t>
        </is>
      </c>
      <c r="K160" s="7" t="n">
        <v>7.4</v>
      </c>
      <c r="L160" s="8" t="inlineStr">
        <is>
          <t>https://myanimelist.net/anime/42351</t>
        </is>
      </c>
    </row>
    <row r="161" ht="20" customHeight="1">
      <c r="A161" s="9" t="n">
        <v>34240</v>
      </c>
      <c r="B161" s="10" t="inlineStr">
        <is>
          <t>Shelter (Music)</t>
        </is>
      </c>
      <c r="C161" s="11" t="inlineStr">
        <is>
          <t>Music</t>
        </is>
      </c>
      <c r="D161" s="12" t="n">
        <v>1</v>
      </c>
      <c r="E161" s="12" t="n">
        <v>1</v>
      </c>
      <c r="F161" s="13">
        <f>IF(D161&gt;0, E161/D161, IF(H161="Completed", 1, 0))</f>
        <v/>
      </c>
      <c r="G161" s="9" t="n">
        <v>9</v>
      </c>
      <c r="H161" s="11" t="inlineStr">
        <is>
          <t>Completed</t>
        </is>
      </c>
      <c r="I161" s="10" t="inlineStr">
        <is>
          <t>Sci-Fi</t>
        </is>
      </c>
      <c r="J161" s="10" t="inlineStr">
        <is>
          <t>A-1 Pictures</t>
        </is>
      </c>
      <c r="K161" s="14" t="n">
        <v>8</v>
      </c>
      <c r="L161" s="15" t="inlineStr">
        <is>
          <t>https://myanimelist.net/anime/34240</t>
        </is>
      </c>
    </row>
    <row r="162" ht="20" customHeight="1">
      <c r="A162" s="2" t="n">
        <v>23273</v>
      </c>
      <c r="B162" s="3" t="inlineStr">
        <is>
          <t>Shigatsu wa Kimi no Uso</t>
        </is>
      </c>
      <c r="C162" s="4" t="inlineStr">
        <is>
          <t>TV</t>
        </is>
      </c>
      <c r="D162" s="5" t="n">
        <v>22</v>
      </c>
      <c r="E162" s="5" t="n">
        <v>22</v>
      </c>
      <c r="F162" s="6">
        <f>IF(D162&gt;0, E162/D162, IF(H162="Completed", 1, 0))</f>
        <v/>
      </c>
      <c r="G162" s="2" t="n">
        <v>9</v>
      </c>
      <c r="H162" s="4" t="inlineStr">
        <is>
          <t>Completed</t>
        </is>
      </c>
      <c r="I162" s="3" t="inlineStr">
        <is>
          <t>Drama, Music, Romance, Slice of Life</t>
        </is>
      </c>
      <c r="J162" s="3" t="inlineStr">
        <is>
          <t>A-1 Pictures</t>
        </is>
      </c>
      <c r="K162" s="7" t="n">
        <v>8.4</v>
      </c>
      <c r="L162" s="8" t="inlineStr">
        <is>
          <t>https://myanimelist.net/anime/23273</t>
        </is>
      </c>
    </row>
    <row r="163" ht="20" customHeight="1">
      <c r="A163" s="9" t="n">
        <v>16498</v>
      </c>
      <c r="B163" s="10" t="inlineStr">
        <is>
          <t>Shingeki no Kyojin</t>
        </is>
      </c>
      <c r="C163" s="11" t="inlineStr">
        <is>
          <t>TV</t>
        </is>
      </c>
      <c r="D163" s="12" t="n">
        <v>25</v>
      </c>
      <c r="E163" s="12" t="n">
        <v>25</v>
      </c>
      <c r="F163" s="13">
        <f>IF(D163&gt;0, E163/D163, IF(H163="Completed", 1, 0))</f>
        <v/>
      </c>
      <c r="G163" s="9" t="n">
        <v>9</v>
      </c>
      <c r="H163" s="11" t="inlineStr">
        <is>
          <t>Completed</t>
        </is>
      </c>
      <c r="I163" s="10" t="inlineStr">
        <is>
          <t>Action, Drama, Fantasy, Mystery</t>
        </is>
      </c>
      <c r="J163" s="10" t="inlineStr">
        <is>
          <t>WIT STUDIO</t>
        </is>
      </c>
      <c r="K163" s="14" t="n">
        <v>8.5</v>
      </c>
      <c r="L163" s="15" t="inlineStr">
        <is>
          <t>https://myanimelist.net/anime/16498</t>
        </is>
      </c>
    </row>
    <row r="164" ht="20" customHeight="1">
      <c r="A164" s="2" t="n">
        <v>59571</v>
      </c>
      <c r="B164" s="3" t="inlineStr">
        <is>
          <t>Shingeki no Kyojin Movie: Kanketsu-hen - The Last Attack</t>
        </is>
      </c>
      <c r="C164" s="4" t="inlineStr">
        <is>
          <t>Movie</t>
        </is>
      </c>
      <c r="D164" s="5" t="n">
        <v>1</v>
      </c>
      <c r="E164" s="5" t="n">
        <v>1</v>
      </c>
      <c r="F164" s="6">
        <f>IF(D164&gt;0, E164/D164, IF(H164="Completed", 1, 0))</f>
        <v/>
      </c>
      <c r="G164" s="2" t="n">
        <v>8</v>
      </c>
      <c r="H164" s="4" t="inlineStr">
        <is>
          <t>Completed</t>
        </is>
      </c>
      <c r="I164" s="3" t="inlineStr">
        <is>
          <t>Action, Drama, Fantasy, Psychological, Romance</t>
        </is>
      </c>
      <c r="J164" s="3" t="inlineStr">
        <is>
          <t>MAPPA</t>
        </is>
      </c>
      <c r="K164" s="7" t="n">
        <v>8.699999999999999</v>
      </c>
      <c r="L164" s="8" t="inlineStr">
        <is>
          <t>https://myanimelist.net/anime/59571</t>
        </is>
      </c>
    </row>
    <row r="165" ht="20" customHeight="1">
      <c r="A165" s="9" t="n">
        <v>25777</v>
      </c>
      <c r="B165" s="10" t="inlineStr">
        <is>
          <t>Shingeki no Kyojin Season 2</t>
        </is>
      </c>
      <c r="C165" s="11" t="inlineStr">
        <is>
          <t>TV</t>
        </is>
      </c>
      <c r="D165" s="12" t="n">
        <v>12</v>
      </c>
      <c r="E165" s="12" t="n">
        <v>12</v>
      </c>
      <c r="F165" s="13">
        <f>IF(D165&gt;0, E165/D165, IF(H165="Completed", 1, 0))</f>
        <v/>
      </c>
      <c r="G165" s="9" t="n">
        <v>9</v>
      </c>
      <c r="H165" s="11" t="inlineStr">
        <is>
          <t>Completed</t>
        </is>
      </c>
      <c r="I165" s="10" t="inlineStr">
        <is>
          <t>Action, Drama, Fantasy, Mystery</t>
        </is>
      </c>
      <c r="J165" s="10" t="inlineStr">
        <is>
          <t>WIT STUDIO</t>
        </is>
      </c>
      <c r="K165" s="14" t="n">
        <v>8.5</v>
      </c>
      <c r="L165" s="15" t="inlineStr">
        <is>
          <t>https://myanimelist.net/anime/25777</t>
        </is>
      </c>
    </row>
    <row r="166" ht="20" customHeight="1">
      <c r="A166" s="2" t="n">
        <v>35760</v>
      </c>
      <c r="B166" s="3" t="inlineStr">
        <is>
          <t>Shingeki no Kyojin Season 3</t>
        </is>
      </c>
      <c r="C166" s="4" t="inlineStr">
        <is>
          <t>TV</t>
        </is>
      </c>
      <c r="D166" s="5" t="n">
        <v>12</v>
      </c>
      <c r="E166" s="5" t="n">
        <v>12</v>
      </c>
      <c r="F166" s="6">
        <f>IF(D166&gt;0, E166/D166, IF(H166="Completed", 1, 0))</f>
        <v/>
      </c>
      <c r="G166" s="2" t="n">
        <v>9</v>
      </c>
      <c r="H166" s="4" t="inlineStr">
        <is>
          <t>Completed</t>
        </is>
      </c>
      <c r="I166" s="3" t="inlineStr">
        <is>
          <t>Action, Drama, Fantasy, Mystery</t>
        </is>
      </c>
      <c r="J166" s="3" t="inlineStr">
        <is>
          <t>WIT STUDIO</t>
        </is>
      </c>
      <c r="K166" s="7" t="n">
        <v>8.6</v>
      </c>
      <c r="L166" s="8" t="inlineStr">
        <is>
          <t>https://myanimelist.net/anime/35760</t>
        </is>
      </c>
    </row>
    <row r="167" ht="20" customHeight="1">
      <c r="A167" s="9" t="n">
        <v>38524</v>
      </c>
      <c r="B167" s="10" t="inlineStr">
        <is>
          <t>Shingeki no Kyojin Season 3 Part 2</t>
        </is>
      </c>
      <c r="C167" s="11" t="inlineStr">
        <is>
          <t>TV</t>
        </is>
      </c>
      <c r="D167" s="12" t="n">
        <v>10</v>
      </c>
      <c r="E167" s="12" t="n">
        <v>10</v>
      </c>
      <c r="F167" s="13">
        <f>IF(D167&gt;0, E167/D167, IF(H167="Completed", 1, 0))</f>
        <v/>
      </c>
      <c r="G167" s="9" t="n">
        <v>10</v>
      </c>
      <c r="H167" s="11" t="inlineStr">
        <is>
          <t>Completed</t>
        </is>
      </c>
      <c r="I167" s="10" t="inlineStr">
        <is>
          <t>Action, Drama, Fantasy, Mystery</t>
        </is>
      </c>
      <c r="J167" s="10" t="inlineStr">
        <is>
          <t>WIT STUDIO</t>
        </is>
      </c>
      <c r="K167" s="14" t="n">
        <v>9</v>
      </c>
      <c r="L167" s="15" t="inlineStr">
        <is>
          <t>https://myanimelist.net/anime/38524</t>
        </is>
      </c>
    </row>
    <row r="168" ht="20" customHeight="1">
      <c r="A168" s="2" t="n">
        <v>40028</v>
      </c>
      <c r="B168" s="3" t="inlineStr">
        <is>
          <t>Shingeki no Kyojin: The Final Season</t>
        </is>
      </c>
      <c r="C168" s="4" t="inlineStr">
        <is>
          <t>TV</t>
        </is>
      </c>
      <c r="D168" s="5" t="n">
        <v>16</v>
      </c>
      <c r="E168" s="5" t="n">
        <v>16</v>
      </c>
      <c r="F168" s="6">
        <f>IF(D168&gt;0, E168/D168, IF(H168="Completed", 1, 0))</f>
        <v/>
      </c>
      <c r="G168" s="2" t="n">
        <v>9</v>
      </c>
      <c r="H168" s="4" t="inlineStr">
        <is>
          <t>Completed</t>
        </is>
      </c>
      <c r="I168" s="3" t="inlineStr">
        <is>
          <t>Action, Drama, Fantasy, Mystery</t>
        </is>
      </c>
      <c r="J168" s="3" t="inlineStr">
        <is>
          <t>MAPPA</t>
        </is>
      </c>
      <c r="K168" s="7" t="n">
        <v>8.699999999999999</v>
      </c>
      <c r="L168" s="8" t="inlineStr">
        <is>
          <t>https://myanimelist.net/anime/40028</t>
        </is>
      </c>
    </row>
    <row r="169" ht="20" customHeight="1">
      <c r="A169" s="9" t="n">
        <v>48583</v>
      </c>
      <c r="B169" s="10" t="inlineStr">
        <is>
          <t>Shingeki no Kyojin: The Final Season Part 2</t>
        </is>
      </c>
      <c r="C169" s="11" t="inlineStr">
        <is>
          <t>TV</t>
        </is>
      </c>
      <c r="D169" s="12" t="n">
        <v>12</v>
      </c>
      <c r="E169" s="12" t="n">
        <v>12</v>
      </c>
      <c r="F169" s="13">
        <f>IF(D169&gt;0, E169/D169, IF(H169="Completed", 1, 0))</f>
        <v/>
      </c>
      <c r="G169" s="9" t="n">
        <v>8</v>
      </c>
      <c r="H169" s="11" t="inlineStr">
        <is>
          <t>Completed</t>
        </is>
      </c>
      <c r="I169" s="10" t="inlineStr">
        <is>
          <t>Action, Drama, Fantasy, Mystery, Psychological</t>
        </is>
      </c>
      <c r="J169" s="10" t="inlineStr">
        <is>
          <t>MAPPA</t>
        </is>
      </c>
      <c r="K169" s="14" t="n">
        <v>8.699999999999999</v>
      </c>
      <c r="L169" s="15" t="inlineStr">
        <is>
          <t>https://myanimelist.net/anime/48583</t>
        </is>
      </c>
    </row>
    <row r="170" ht="20" customHeight="1">
      <c r="A170" s="2" t="n">
        <v>35838</v>
      </c>
      <c r="B170" s="3" t="inlineStr">
        <is>
          <t>Shoujo Shuumatsu Ryokou</t>
        </is>
      </c>
      <c r="C170" s="4" t="inlineStr">
        <is>
          <t>TV</t>
        </is>
      </c>
      <c r="D170" s="5" t="n">
        <v>12</v>
      </c>
      <c r="E170" s="5" t="n">
        <v>12</v>
      </c>
      <c r="F170" s="6">
        <f>IF(D170&gt;0, E170/D170, IF(H170="Completed", 1, 0))</f>
        <v/>
      </c>
      <c r="G170" s="2" t="n">
        <v>8</v>
      </c>
      <c r="H170" s="4" t="inlineStr">
        <is>
          <t>Completed</t>
        </is>
      </c>
      <c r="I170" s="3" t="inlineStr">
        <is>
          <t>Adventure, Sci-Fi, Slice of Life</t>
        </is>
      </c>
      <c r="J170" s="3" t="inlineStr">
        <is>
          <t>WHITE FOX</t>
        </is>
      </c>
      <c r="K170" s="7" t="n">
        <v>8.1</v>
      </c>
      <c r="L170" s="8" t="inlineStr">
        <is>
          <t>https://myanimelist.net/anime/35838</t>
        </is>
      </c>
    </row>
    <row r="171" ht="20" customHeight="1">
      <c r="A171" s="9" t="n">
        <v>48736</v>
      </c>
      <c r="B171" s="10" t="inlineStr">
        <is>
          <t>Sono Bisque Doll wa Koi wo Suru</t>
        </is>
      </c>
      <c r="C171" s="11" t="inlineStr">
        <is>
          <t>TV</t>
        </is>
      </c>
      <c r="D171" s="12" t="n">
        <v>12</v>
      </c>
      <c r="E171" s="12" t="n">
        <v>12</v>
      </c>
      <c r="F171" s="13">
        <f>IF(D171&gt;0, E171/D171, IF(H171="Completed", 1, 0))</f>
        <v/>
      </c>
      <c r="G171" s="9" t="n">
        <v>8</v>
      </c>
      <c r="H171" s="11" t="inlineStr">
        <is>
          <t>Completed</t>
        </is>
      </c>
      <c r="I171" s="10" t="inlineStr">
        <is>
          <t>Comedy, Ecchi, Romance, Slice of Life</t>
        </is>
      </c>
      <c r="J171" s="10" t="inlineStr">
        <is>
          <t>CloverWorks</t>
        </is>
      </c>
      <c r="K171" s="14" t="n">
        <v>8</v>
      </c>
      <c r="L171" s="15" t="inlineStr">
        <is>
          <t>https://myanimelist.net/anime/48736</t>
        </is>
      </c>
    </row>
    <row r="172" ht="20" customHeight="1">
      <c r="A172" s="2" t="n">
        <v>35839</v>
      </c>
      <c r="B172" s="3" t="inlineStr">
        <is>
          <t>Sora yori mo Tooi Basho</t>
        </is>
      </c>
      <c r="C172" s="4" t="inlineStr">
        <is>
          <t>TV</t>
        </is>
      </c>
      <c r="D172" s="5" t="n">
        <v>13</v>
      </c>
      <c r="E172" s="5" t="n">
        <v>13</v>
      </c>
      <c r="F172" s="6">
        <f>IF(D172&gt;0, E172/D172, IF(H172="Completed", 1, 0))</f>
        <v/>
      </c>
      <c r="G172" s="2" t="n">
        <v>8</v>
      </c>
      <c r="H172" s="4" t="inlineStr">
        <is>
          <t>Completed</t>
        </is>
      </c>
      <c r="I172" s="3" t="inlineStr">
        <is>
          <t>Adventure, Comedy, Drama</t>
        </is>
      </c>
      <c r="J172" s="3" t="inlineStr">
        <is>
          <t>MADHOUSE</t>
        </is>
      </c>
      <c r="K172" s="7" t="n">
        <v>8.4</v>
      </c>
      <c r="L172" s="8" t="inlineStr">
        <is>
          <t>https://myanimelist.net/anime/35839</t>
        </is>
      </c>
    </row>
    <row r="173" ht="20" customHeight="1">
      <c r="A173" s="9" t="n">
        <v>52991</v>
      </c>
      <c r="B173" s="10" t="inlineStr">
        <is>
          <t>Sousou no Frieren</t>
        </is>
      </c>
      <c r="C173" s="11" t="inlineStr">
        <is>
          <t>TV</t>
        </is>
      </c>
      <c r="D173" s="12" t="n">
        <v>28</v>
      </c>
      <c r="E173" s="12" t="n">
        <v>28</v>
      </c>
      <c r="F173" s="13">
        <f>IF(D173&gt;0, E173/D173, IF(H173="Completed", 1, 0))</f>
        <v/>
      </c>
      <c r="G173" s="9" t="n">
        <v>9</v>
      </c>
      <c r="H173" s="11" t="inlineStr">
        <is>
          <t>Completed</t>
        </is>
      </c>
      <c r="I173" s="10" t="inlineStr">
        <is>
          <t>Adventure, Drama, Fantasy</t>
        </is>
      </c>
      <c r="J173" s="10" t="inlineStr">
        <is>
          <t>MADHOUSE</t>
        </is>
      </c>
      <c r="K173" s="14" t="n">
        <v>9.1</v>
      </c>
      <c r="L173" s="15" t="inlineStr">
        <is>
          <t>https://myanimelist.net/anime/52991</t>
        </is>
      </c>
    </row>
    <row r="174" ht="20" customHeight="1">
      <c r="A174" s="2" t="n">
        <v>50265</v>
      </c>
      <c r="B174" s="3" t="inlineStr">
        <is>
          <t>Spy x Family</t>
        </is>
      </c>
      <c r="C174" s="4" t="inlineStr">
        <is>
          <t>TV</t>
        </is>
      </c>
      <c r="D174" s="5" t="n">
        <v>12</v>
      </c>
      <c r="E174" s="5" t="n">
        <v>12</v>
      </c>
      <c r="F174" s="6">
        <f>IF(D174&gt;0, E174/D174, IF(H174="Completed", 1, 0))</f>
        <v/>
      </c>
      <c r="G174" s="2" t="n">
        <v>8</v>
      </c>
      <c r="H174" s="4" t="inlineStr">
        <is>
          <t>Completed</t>
        </is>
      </c>
      <c r="I174" s="3" t="inlineStr">
        <is>
          <t>Action, Comedy, Slice of Life, Supernatural</t>
        </is>
      </c>
      <c r="J174" s="3" t="inlineStr">
        <is>
          <t>CloverWorks</t>
        </is>
      </c>
      <c r="K174" s="7" t="n">
        <v>8.300000000000001</v>
      </c>
      <c r="L174" s="8" t="inlineStr">
        <is>
          <t>https://myanimelist.net/anime/50265</t>
        </is>
      </c>
    </row>
    <row r="175" ht="20" customHeight="1">
      <c r="A175" s="9" t="n">
        <v>50602</v>
      </c>
      <c r="B175" s="10" t="inlineStr">
        <is>
          <t>Spy x Family Part 2</t>
        </is>
      </c>
      <c r="C175" s="11" t="inlineStr">
        <is>
          <t>TV</t>
        </is>
      </c>
      <c r="D175" s="12" t="n">
        <v>13</v>
      </c>
      <c r="E175" s="12" t="n">
        <v>13</v>
      </c>
      <c r="F175" s="13">
        <f>IF(D175&gt;0, E175/D175, IF(H175="Completed", 1, 0))</f>
        <v/>
      </c>
      <c r="G175" s="9" t="n">
        <v>8</v>
      </c>
      <c r="H175" s="11" t="inlineStr">
        <is>
          <t>Completed</t>
        </is>
      </c>
      <c r="I175" s="10" t="inlineStr">
        <is>
          <t>Action, Comedy, Slice of Life, Supernatural</t>
        </is>
      </c>
      <c r="J175" s="10" t="inlineStr">
        <is>
          <t>WIT STUDIO</t>
        </is>
      </c>
      <c r="K175" s="14" t="n">
        <v>8.1</v>
      </c>
      <c r="L175" s="15" t="inlineStr">
        <is>
          <t>https://myanimelist.net/anime/50602</t>
        </is>
      </c>
    </row>
    <row r="176" ht="20" customHeight="1">
      <c r="A176" s="2" t="n">
        <v>21469</v>
      </c>
      <c r="B176" s="3" t="inlineStr">
        <is>
          <t>Stand By Me Doraemon</t>
        </is>
      </c>
      <c r="C176" s="4" t="inlineStr">
        <is>
          <t>Movie</t>
        </is>
      </c>
      <c r="D176" s="5" t="n">
        <v>1</v>
      </c>
      <c r="E176" s="5" t="n">
        <v>1</v>
      </c>
      <c r="F176" s="6">
        <f>IF(D176&gt;0, E176/D176, IF(H176="Completed", 1, 0))</f>
        <v/>
      </c>
      <c r="G176" s="2" t="n">
        <v>5</v>
      </c>
      <c r="H176" s="4" t="inlineStr">
        <is>
          <t>Completed</t>
        </is>
      </c>
      <c r="I176" s="3" t="inlineStr">
        <is>
          <t>Adventure, Comedy, Sci-Fi</t>
        </is>
      </c>
      <c r="J176" s="3" t="inlineStr">
        <is>
          <t>Shin-Ei Animation</t>
        </is>
      </c>
      <c r="K176" s="7" t="n">
        <v>7.8</v>
      </c>
      <c r="L176" s="8" t="inlineStr">
        <is>
          <t>https://myanimelist.net/anime/21469</t>
        </is>
      </c>
    </row>
    <row r="177" ht="20" customHeight="1">
      <c r="A177" s="9" t="n">
        <v>9253</v>
      </c>
      <c r="B177" s="10" t="inlineStr">
        <is>
          <t>Steins;Gate</t>
        </is>
      </c>
      <c r="C177" s="11" t="inlineStr">
        <is>
          <t>TV</t>
        </is>
      </c>
      <c r="D177" s="12" t="n">
        <v>24</v>
      </c>
      <c r="E177" s="12" t="n">
        <v>24</v>
      </c>
      <c r="F177" s="13">
        <f>IF(D177&gt;0, E177/D177, IF(H177="Completed", 1, 0))</f>
        <v/>
      </c>
      <c r="G177" s="9" t="n">
        <v>10</v>
      </c>
      <c r="H177" s="11" t="inlineStr">
        <is>
          <t>Completed</t>
        </is>
      </c>
      <c r="I177" s="10" t="inlineStr">
        <is>
          <t>Drama, Psychological, Sci-Fi, Thriller</t>
        </is>
      </c>
      <c r="J177" s="10" t="inlineStr">
        <is>
          <t>WHITE FOX</t>
        </is>
      </c>
      <c r="K177" s="14" t="n">
        <v>8.9</v>
      </c>
      <c r="L177" s="15" t="inlineStr">
        <is>
          <t>https://myanimelist.net/anime/9253</t>
        </is>
      </c>
    </row>
    <row r="178" ht="20" customHeight="1">
      <c r="A178" s="2" t="n">
        <v>30484</v>
      </c>
      <c r="B178" s="3" t="inlineStr">
        <is>
          <t>Steins;Gate 0</t>
        </is>
      </c>
      <c r="C178" s="4" t="inlineStr">
        <is>
          <t>TV</t>
        </is>
      </c>
      <c r="D178" s="5" t="n">
        <v>23</v>
      </c>
      <c r="E178" s="5" t="n">
        <v>23</v>
      </c>
      <c r="F178" s="6">
        <f>IF(D178&gt;0, E178/D178, IF(H178="Completed", 1, 0))</f>
        <v/>
      </c>
      <c r="G178" s="2" t="n">
        <v>9</v>
      </c>
      <c r="H178" s="4" t="inlineStr">
        <is>
          <t>Completed</t>
        </is>
      </c>
      <c r="I178" s="3" t="inlineStr">
        <is>
          <t>Drama, Psychological, Sci-Fi, Thriller</t>
        </is>
      </c>
      <c r="J178" s="3" t="inlineStr">
        <is>
          <t>WHITE FOX</t>
        </is>
      </c>
      <c r="K178" s="7" t="n">
        <v>8.4</v>
      </c>
      <c r="L178" s="8" t="inlineStr">
        <is>
          <t>https://myanimelist.net/anime/30484</t>
        </is>
      </c>
    </row>
    <row r="179" ht="20" customHeight="1">
      <c r="A179" s="9" t="n">
        <v>11577</v>
      </c>
      <c r="B179" s="10" t="inlineStr">
        <is>
          <t>Steins;Gate Movie: Fuka Ryouiki no Déjà vu</t>
        </is>
      </c>
      <c r="C179" s="11" t="inlineStr">
        <is>
          <t>Movie</t>
        </is>
      </c>
      <c r="D179" s="12" t="n">
        <v>1</v>
      </c>
      <c r="E179" s="12" t="n">
        <v>1</v>
      </c>
      <c r="F179" s="13">
        <f>IF(D179&gt;0, E179/D179, IF(H179="Completed", 1, 0))</f>
        <v/>
      </c>
      <c r="G179" s="9" t="n">
        <v>7</v>
      </c>
      <c r="H179" s="11" t="inlineStr">
        <is>
          <t>Completed</t>
        </is>
      </c>
      <c r="I179" s="10" t="inlineStr">
        <is>
          <t>Drama, Romance, Sci-Fi, Thriller</t>
        </is>
      </c>
      <c r="J179" s="10" t="inlineStr">
        <is>
          <t>WHITE FOX</t>
        </is>
      </c>
      <c r="K179" s="14" t="n">
        <v>8.199999999999999</v>
      </c>
      <c r="L179" s="15" t="inlineStr">
        <is>
          <t>https://myanimelist.net/anime/11577</t>
        </is>
      </c>
    </row>
    <row r="180" ht="20" customHeight="1">
      <c r="A180" s="2" t="n">
        <v>32188</v>
      </c>
      <c r="B180" s="3" t="inlineStr">
        <is>
          <t>Steins;Gate: Kyoukaimenjou no Missing Link - Divide By Zero</t>
        </is>
      </c>
      <c r="C180" s="4" t="inlineStr">
        <is>
          <t>TV Special</t>
        </is>
      </c>
      <c r="D180" s="5" t="n">
        <v>1</v>
      </c>
      <c r="E180" s="5" t="n">
        <v>1</v>
      </c>
      <c r="F180" s="6">
        <f>IF(D180&gt;0, E180/D180, IF(H180="Completed", 1, 0))</f>
        <v/>
      </c>
      <c r="G180" s="2" t="n">
        <v>8</v>
      </c>
      <c r="H180" s="4" t="inlineStr">
        <is>
          <t>Completed</t>
        </is>
      </c>
      <c r="I180" s="3" t="inlineStr">
        <is>
          <t>Drama, Psychological, Sci-Fi, Thriller</t>
        </is>
      </c>
      <c r="J180" s="3" t="inlineStr">
        <is>
          <t>WHITE FOX</t>
        </is>
      </c>
      <c r="K180" s="7" t="n">
        <v>8.1</v>
      </c>
      <c r="L180" s="8" t="inlineStr">
        <is>
          <t>https://myanimelist.net/anime/32188</t>
        </is>
      </c>
    </row>
    <row r="181" ht="20" customHeight="1">
      <c r="A181" s="9" t="n">
        <v>10863</v>
      </c>
      <c r="B181" s="10" t="inlineStr">
        <is>
          <t>Steins;Gate: Oukoubakko no Poriomania</t>
        </is>
      </c>
      <c r="C181" s="11" t="inlineStr">
        <is>
          <t>Special</t>
        </is>
      </c>
      <c r="D181" s="12" t="n">
        <v>1</v>
      </c>
      <c r="E181" s="12" t="n">
        <v>1</v>
      </c>
      <c r="F181" s="13">
        <f>IF(D181&gt;0, E181/D181, IF(H181="Completed", 1, 0))</f>
        <v/>
      </c>
      <c r="G181" s="9" t="n">
        <v>7</v>
      </c>
      <c r="H181" s="11" t="inlineStr">
        <is>
          <t>Completed</t>
        </is>
      </c>
      <c r="I181" s="10" t="inlineStr">
        <is>
          <t>Comedy, Romance, Sci-Fi</t>
        </is>
      </c>
      <c r="J181" s="10" t="inlineStr">
        <is>
          <t>WHITE FOX</t>
        </is>
      </c>
      <c r="K181" s="14" t="n">
        <v>8.1</v>
      </c>
      <c r="L181" s="15" t="inlineStr">
        <is>
          <t>https://myanimelist.net/anime/10863</t>
        </is>
      </c>
    </row>
    <row r="182" ht="20" customHeight="1">
      <c r="A182" s="2" t="n">
        <v>5681</v>
      </c>
      <c r="B182" s="3" t="inlineStr">
        <is>
          <t>Summer Wars</t>
        </is>
      </c>
      <c r="C182" s="4" t="inlineStr">
        <is>
          <t>Movie</t>
        </is>
      </c>
      <c r="D182" s="5" t="n">
        <v>1</v>
      </c>
      <c r="E182" s="5" t="n">
        <v>1</v>
      </c>
      <c r="F182" s="6">
        <f>IF(D182&gt;0, E182/D182, IF(H182="Completed", 1, 0))</f>
        <v/>
      </c>
      <c r="G182" s="2" t="n">
        <v>8</v>
      </c>
      <c r="H182" s="4" t="inlineStr">
        <is>
          <t>Completed</t>
        </is>
      </c>
      <c r="I182" s="3" t="inlineStr">
        <is>
          <t>Action, Comedy, Drama, Romance, Sci-Fi</t>
        </is>
      </c>
      <c r="J182" s="3" t="inlineStr">
        <is>
          <t>MADHOUSE</t>
        </is>
      </c>
      <c r="K182" s="7" t="n">
        <v>7.7</v>
      </c>
      <c r="L182" s="8" t="inlineStr">
        <is>
          <t>https://myanimelist.net/anime/5681</t>
        </is>
      </c>
    </row>
    <row r="183" ht="20" customHeight="1">
      <c r="A183" s="9" t="n">
        <v>62076</v>
      </c>
      <c r="B183" s="10" t="inlineStr">
        <is>
          <t>Super no Ura de Yani Suu Futari</t>
        </is>
      </c>
      <c r="C183" s="11" t="inlineStr">
        <is>
          <t>TV</t>
        </is>
      </c>
      <c r="D183" s="12" t="n">
        <v>12</v>
      </c>
      <c r="E183" s="12" t="n">
        <v>0</v>
      </c>
      <c r="F183" s="13">
        <f>IF(D183&gt;0, E183/D183, IF(H183="Completed", 1, 0))</f>
        <v/>
      </c>
      <c r="G183" s="9" t="n">
        <v>8</v>
      </c>
      <c r="H183" s="11" t="inlineStr">
        <is>
          <t>Watching</t>
        </is>
      </c>
      <c r="I183" s="10" t="inlineStr">
        <is>
          <t>Comedy, Romance, Slice of Life</t>
        </is>
      </c>
      <c r="J183" s="10" t="inlineStr">
        <is>
          <t>Asahi Production</t>
        </is>
      </c>
      <c r="K183" s="14" t="n">
        <v>8.199999999999999</v>
      </c>
      <c r="L183" s="15" t="inlineStr">
        <is>
          <t>https://myanimelist.net/anime/62076</t>
        </is>
      </c>
    </row>
    <row r="184" ht="20" customHeight="1">
      <c r="A184" s="2" t="n">
        <v>7311</v>
      </c>
      <c r="B184" s="3" t="inlineStr">
        <is>
          <t>Suzumiya Haruhi no Shoushitsu</t>
        </is>
      </c>
      <c r="C184" s="4" t="inlineStr">
        <is>
          <t>Movie</t>
        </is>
      </c>
      <c r="D184" s="5" t="n">
        <v>1</v>
      </c>
      <c r="E184" s="5" t="n">
        <v>1</v>
      </c>
      <c r="F184" s="6">
        <f>IF(D184&gt;0, E184/D184, IF(H184="Completed", 1, 0))</f>
        <v/>
      </c>
      <c r="G184" s="2" t="n">
        <v>7</v>
      </c>
      <c r="H184" s="4" t="inlineStr">
        <is>
          <t>Completed</t>
        </is>
      </c>
      <c r="I184" s="3" t="inlineStr">
        <is>
          <t>Drama, Mystery, Sci-Fi, Supernatural</t>
        </is>
      </c>
      <c r="J184" s="3" t="inlineStr">
        <is>
          <t>Kyoto Animation</t>
        </is>
      </c>
      <c r="K184" s="7" t="n">
        <v>8.6</v>
      </c>
      <c r="L184" s="8" t="inlineStr">
        <is>
          <t>https://myanimelist.net/anime/7311</t>
        </is>
      </c>
    </row>
    <row r="185" ht="20" customHeight="1">
      <c r="A185" s="9" t="n">
        <v>849</v>
      </c>
      <c r="B185" s="10" t="inlineStr">
        <is>
          <t>Suzumiya Haruhi no Yuuutsu</t>
        </is>
      </c>
      <c r="C185" s="11" t="inlineStr">
        <is>
          <t>TV</t>
        </is>
      </c>
      <c r="D185" s="12" t="n">
        <v>14</v>
      </c>
      <c r="E185" s="12" t="n">
        <v>14</v>
      </c>
      <c r="F185" s="13">
        <f>IF(D185&gt;0, E185/D185, IF(H185="Completed", 1, 0))</f>
        <v/>
      </c>
      <c r="G185" s="9" t="n">
        <v>6</v>
      </c>
      <c r="H185" s="11" t="inlineStr">
        <is>
          <t>Completed</t>
        </is>
      </c>
      <c r="I185" s="10" t="inlineStr">
        <is>
          <t>Comedy, Mystery, Sci-Fi, Slice of Life, Supernatural</t>
        </is>
      </c>
      <c r="J185" s="10" t="inlineStr">
        <is>
          <t>Kyoto Animation</t>
        </is>
      </c>
      <c r="K185" s="14" t="n">
        <v>7.6</v>
      </c>
      <c r="L185" s="15" t="inlineStr">
        <is>
          <t>https://myanimelist.net/anime/849</t>
        </is>
      </c>
    </row>
    <row r="186" ht="20" customHeight="1">
      <c r="A186" s="2" t="n">
        <v>4382</v>
      </c>
      <c r="B186" s="3" t="inlineStr">
        <is>
          <t>Suzumiya Haruhi no Yuuutsu (2009)</t>
        </is>
      </c>
      <c r="C186" s="4" t="inlineStr">
        <is>
          <t>TV</t>
        </is>
      </c>
      <c r="D186" s="5" t="n">
        <v>14</v>
      </c>
      <c r="E186" s="5" t="n">
        <v>14</v>
      </c>
      <c r="F186" s="6">
        <f>IF(D186&gt;0, E186/D186, IF(H186="Completed", 1, 0))</f>
        <v/>
      </c>
      <c r="G186" s="2" t="n">
        <v>6</v>
      </c>
      <c r="H186" s="4" t="inlineStr">
        <is>
          <t>Completed</t>
        </is>
      </c>
      <c r="I186" s="3" t="inlineStr">
        <is>
          <t>Comedy, Mystery, Sci-Fi, Slice of Life, Supernatural</t>
        </is>
      </c>
      <c r="J186" s="3" t="inlineStr">
        <is>
          <t>Kyoto Animation</t>
        </is>
      </c>
      <c r="K186" s="7" t="n">
        <v>7.2</v>
      </c>
      <c r="L186" s="8" t="inlineStr">
        <is>
          <t>https://myanimelist.net/anime/4382</t>
        </is>
      </c>
    </row>
    <row r="187" ht="20" customHeight="1">
      <c r="A187" s="9" t="n">
        <v>45055</v>
      </c>
      <c r="B187" s="10" t="inlineStr">
        <is>
          <t>Taishou Otome Otogibanashi</t>
        </is>
      </c>
      <c r="C187" s="11" t="inlineStr">
        <is>
          <t>TV</t>
        </is>
      </c>
      <c r="D187" s="12" t="n">
        <v>12</v>
      </c>
      <c r="E187" s="12" t="n">
        <v>12</v>
      </c>
      <c r="F187" s="13">
        <f>IF(D187&gt;0, E187/D187, IF(H187="Completed", 1, 0))</f>
        <v/>
      </c>
      <c r="G187" s="9" t="n">
        <v>7</v>
      </c>
      <c r="H187" s="11" t="inlineStr">
        <is>
          <t>Completed</t>
        </is>
      </c>
      <c r="I187" s="10" t="inlineStr">
        <is>
          <t>Comedy, Drama, Romance, Slice of Life</t>
        </is>
      </c>
      <c r="J187" s="10" t="inlineStr">
        <is>
          <t>SynergySP</t>
        </is>
      </c>
      <c r="K187" s="14" t="n">
        <v>7.6</v>
      </c>
      <c r="L187" s="15" t="inlineStr">
        <is>
          <t>https://myanimelist.net/anime/45055</t>
        </is>
      </c>
    </row>
    <row r="188" ht="20" customHeight="1">
      <c r="A188" s="2" t="n">
        <v>60489</v>
      </c>
      <c r="B188" s="3" t="inlineStr">
        <is>
          <t>Takopii no Genzai</t>
        </is>
      </c>
      <c r="C188" s="4" t="inlineStr">
        <is>
          <t>ONA</t>
        </is>
      </c>
      <c r="D188" s="5" t="n">
        <v>6</v>
      </c>
      <c r="E188" s="5" t="n">
        <v>6</v>
      </c>
      <c r="F188" s="6">
        <f>IF(D188&gt;0, E188/D188, IF(H188="Completed", 1, 0))</f>
        <v/>
      </c>
      <c r="G188" s="2" t="n">
        <v>10</v>
      </c>
      <c r="H188" s="4" t="inlineStr">
        <is>
          <t>Completed</t>
        </is>
      </c>
      <c r="I188" s="3" t="inlineStr">
        <is>
          <t>Drama, Psychological, Sci-Fi</t>
        </is>
      </c>
      <c r="J188" s="3" t="inlineStr">
        <is>
          <t>ENISHIYA</t>
        </is>
      </c>
      <c r="K188" s="7" t="n">
        <v>8.6</v>
      </c>
      <c r="L188" s="8" t="inlineStr">
        <is>
          <t>https://myanimelist.net/anime/60489</t>
        </is>
      </c>
    </row>
    <row r="189" ht="20" customHeight="1">
      <c r="A189" s="9" t="n">
        <v>35790</v>
      </c>
      <c r="B189" s="10" t="inlineStr">
        <is>
          <t>Tate no Yuusha no Nariagari</t>
        </is>
      </c>
      <c r="C189" s="11" t="inlineStr">
        <is>
          <t>TV</t>
        </is>
      </c>
      <c r="D189" s="12" t="n">
        <v>25</v>
      </c>
      <c r="E189" s="12" t="n">
        <v>25</v>
      </c>
      <c r="F189" s="13">
        <f>IF(D189&gt;0, E189/D189, IF(H189="Completed", 1, 0))</f>
        <v/>
      </c>
      <c r="G189" s="9" t="n">
        <v>7</v>
      </c>
      <c r="H189" s="11" t="inlineStr">
        <is>
          <t>Completed</t>
        </is>
      </c>
      <c r="I189" s="10" t="inlineStr">
        <is>
          <t>Action, Adventure, Fantasy</t>
        </is>
      </c>
      <c r="J189" s="10" t="inlineStr">
        <is>
          <t>Kinema Citrus</t>
        </is>
      </c>
      <c r="K189" s="14" t="n">
        <v>7.6</v>
      </c>
      <c r="L189" s="15" t="inlineStr">
        <is>
          <t>https://myanimelist.net/anime/35790</t>
        </is>
      </c>
    </row>
    <row r="190" ht="20" customHeight="1">
      <c r="A190" s="2" t="n">
        <v>53393</v>
      </c>
      <c r="B190" s="3" t="inlineStr">
        <is>
          <t>Tengoku Daimakyou</t>
        </is>
      </c>
      <c r="C190" s="4" t="inlineStr">
        <is>
          <t>TV</t>
        </is>
      </c>
      <c r="D190" s="5" t="n">
        <v>13</v>
      </c>
      <c r="E190" s="5" t="n">
        <v>13</v>
      </c>
      <c r="F190" s="6">
        <f>IF(D190&gt;0, E190/D190, IF(H190="Completed", 1, 0))</f>
        <v/>
      </c>
      <c r="G190" s="2" t="n">
        <v>8</v>
      </c>
      <c r="H190" s="4" t="inlineStr">
        <is>
          <t>Completed</t>
        </is>
      </c>
      <c r="I190" s="3" t="inlineStr">
        <is>
          <t>Adventure, Mystery, Sci-Fi, Thriller</t>
        </is>
      </c>
      <c r="J190" s="3" t="inlineStr">
        <is>
          <t>Production I.G</t>
        </is>
      </c>
      <c r="K190" s="7" t="n">
        <v>8.1</v>
      </c>
      <c r="L190" s="8" t="inlineStr">
        <is>
          <t>https://myanimelist.net/anime/53393</t>
        </is>
      </c>
    </row>
    <row r="191" ht="20" customHeight="1">
      <c r="A191" s="9" t="n">
        <v>38826</v>
      </c>
      <c r="B191" s="10" t="inlineStr">
        <is>
          <t>Tenki no Ko</t>
        </is>
      </c>
      <c r="C191" s="11" t="inlineStr">
        <is>
          <t>Movie</t>
        </is>
      </c>
      <c r="D191" s="12" t="n">
        <v>1</v>
      </c>
      <c r="E191" s="12" t="n">
        <v>1</v>
      </c>
      <c r="F191" s="13">
        <f>IF(D191&gt;0, E191/D191, IF(H191="Completed", 1, 0))</f>
        <v/>
      </c>
      <c r="G191" s="9" t="n">
        <v>8</v>
      </c>
      <c r="H191" s="11" t="inlineStr">
        <is>
          <t>Completed</t>
        </is>
      </c>
      <c r="I191" s="10" t="inlineStr">
        <is>
          <t>Drama, Romance, Slice of Life, Supernatural</t>
        </is>
      </c>
      <c r="J191" s="10" t="inlineStr">
        <is>
          <t>CoMix Wave</t>
        </is>
      </c>
      <c r="K191" s="14" t="n">
        <v>8.1</v>
      </c>
      <c r="L191" s="15" t="inlineStr">
        <is>
          <t>https://myanimelist.net/anime/38826</t>
        </is>
      </c>
    </row>
    <row r="192" ht="20" customHeight="1">
      <c r="A192" s="2" t="n">
        <v>37430</v>
      </c>
      <c r="B192" s="3" t="inlineStr">
        <is>
          <t>Tensei shitara Slime Datta Ken</t>
        </is>
      </c>
      <c r="C192" s="4" t="inlineStr">
        <is>
          <t>TV</t>
        </is>
      </c>
      <c r="D192" s="5" t="n">
        <v>24</v>
      </c>
      <c r="E192" s="5" t="n">
        <v>24</v>
      </c>
      <c r="F192" s="6">
        <f>IF(D192&gt;0, E192/D192, IF(H192="Completed", 1, 0))</f>
        <v/>
      </c>
      <c r="G192" s="2" t="n">
        <v>7</v>
      </c>
      <c r="H192" s="4" t="inlineStr">
        <is>
          <t>Completed</t>
        </is>
      </c>
      <c r="I192" s="3" t="inlineStr">
        <is>
          <t>Action, Adventure, Comedy, Fantasy</t>
        </is>
      </c>
      <c r="J192" s="3" t="inlineStr">
        <is>
          <t>8-bit</t>
        </is>
      </c>
      <c r="K192" s="7" t="n">
        <v>8</v>
      </c>
      <c r="L192" s="8" t="inlineStr">
        <is>
          <t>https://myanimelist.net/anime/37430</t>
        </is>
      </c>
    </row>
    <row r="193" ht="20" customHeight="1">
      <c r="A193" s="9" t="n">
        <v>2236</v>
      </c>
      <c r="B193" s="10" t="inlineStr">
        <is>
          <t>Toki wo Kakeru Shoujo</t>
        </is>
      </c>
      <c r="C193" s="11" t="inlineStr">
        <is>
          <t>Movie</t>
        </is>
      </c>
      <c r="D193" s="12" t="n">
        <v>1</v>
      </c>
      <c r="E193" s="12" t="n">
        <v>1</v>
      </c>
      <c r="F193" s="13">
        <f>IF(D193&gt;0, E193/D193, IF(H193="Completed", 1, 0))</f>
        <v/>
      </c>
      <c r="G193" s="9" t="n">
        <v>7</v>
      </c>
      <c r="H193" s="11" t="inlineStr">
        <is>
          <t>Completed</t>
        </is>
      </c>
      <c r="I193" s="10" t="inlineStr">
        <is>
          <t>Drama, Romance, Sci-Fi</t>
        </is>
      </c>
      <c r="J193" s="10" t="inlineStr">
        <is>
          <t>MADHOUSE</t>
        </is>
      </c>
      <c r="K193" s="14" t="n">
        <v>7.8</v>
      </c>
      <c r="L193" s="15" t="inlineStr">
        <is>
          <t>https://myanimelist.net/anime/2236</t>
        </is>
      </c>
    </row>
    <row r="194" ht="20" customHeight="1">
      <c r="A194" s="2" t="n">
        <v>42249</v>
      </c>
      <c r="B194" s="3" t="inlineStr">
        <is>
          <t>Tokyo Revengers</t>
        </is>
      </c>
      <c r="C194" s="4" t="inlineStr">
        <is>
          <t>TV</t>
        </is>
      </c>
      <c r="D194" s="5" t="n">
        <v>24</v>
      </c>
      <c r="E194" s="5" t="n">
        <v>24</v>
      </c>
      <c r="F194" s="6">
        <f>IF(D194&gt;0, E194/D194, IF(H194="Completed", 1, 0))</f>
        <v/>
      </c>
      <c r="G194" s="2" t="n">
        <v>7</v>
      </c>
      <c r="H194" s="4" t="inlineStr">
        <is>
          <t>Completed</t>
        </is>
      </c>
      <c r="I194" s="3" t="inlineStr">
        <is>
          <t>Action, Drama, Romance, Supernatural</t>
        </is>
      </c>
      <c r="J194" s="3" t="inlineStr">
        <is>
          <t>LIDENFILMS</t>
        </is>
      </c>
      <c r="K194" s="7" t="n">
        <v>7.7</v>
      </c>
      <c r="L194" s="8" t="inlineStr">
        <is>
          <t>https://myanimelist.net/anime/42249</t>
        </is>
      </c>
    </row>
    <row r="195" ht="20" customHeight="1">
      <c r="A195" s="9" t="n">
        <v>52305</v>
      </c>
      <c r="B195" s="10" t="inlineStr">
        <is>
          <t>Tomo-chan wa Onnanoko!</t>
        </is>
      </c>
      <c r="C195" s="11" t="inlineStr">
        <is>
          <t>TV</t>
        </is>
      </c>
      <c r="D195" s="12" t="n">
        <v>13</v>
      </c>
      <c r="E195" s="12" t="n">
        <v>13</v>
      </c>
      <c r="F195" s="13">
        <f>IF(D195&gt;0, E195/D195, IF(H195="Completed", 1, 0))</f>
        <v/>
      </c>
      <c r="G195" s="9" t="n">
        <v>7</v>
      </c>
      <c r="H195" s="11" t="inlineStr">
        <is>
          <t>Completed</t>
        </is>
      </c>
      <c r="I195" s="10" t="inlineStr">
        <is>
          <t>Comedy, Romance, Slice of Life</t>
        </is>
      </c>
      <c r="J195" s="10" t="inlineStr">
        <is>
          <t>Lay-duce</t>
        </is>
      </c>
      <c r="K195" s="14" t="n">
        <v>7.6</v>
      </c>
      <c r="L195" s="15" t="inlineStr">
        <is>
          <t>https://myanimelist.net/anime/52305</t>
        </is>
      </c>
    </row>
    <row r="196" ht="20" customHeight="1">
      <c r="A196" s="2" t="n">
        <v>4224</v>
      </c>
      <c r="B196" s="3" t="inlineStr">
        <is>
          <t>Toradora!</t>
        </is>
      </c>
      <c r="C196" s="4" t="inlineStr">
        <is>
          <t>TV</t>
        </is>
      </c>
      <c r="D196" s="5" t="n">
        <v>25</v>
      </c>
      <c r="E196" s="5" t="n">
        <v>25</v>
      </c>
      <c r="F196" s="6">
        <f>IF(D196&gt;0, E196/D196, IF(H196="Completed", 1, 0))</f>
        <v/>
      </c>
      <c r="G196" s="2" t="n">
        <v>9</v>
      </c>
      <c r="H196" s="4" t="inlineStr">
        <is>
          <t>Completed</t>
        </is>
      </c>
      <c r="I196" s="3" t="inlineStr">
        <is>
          <t>Comedy, Drama, Romance, Slice of Life</t>
        </is>
      </c>
      <c r="J196" s="3" t="inlineStr">
        <is>
          <t>J.C.STAFF</t>
        </is>
      </c>
      <c r="K196" s="7" t="n">
        <v>7.8</v>
      </c>
      <c r="L196" s="8" t="inlineStr">
        <is>
          <t>https://myanimelist.net/anime/4224</t>
        </is>
      </c>
    </row>
    <row r="197" ht="20" customHeight="1">
      <c r="A197" s="9" t="n">
        <v>34822</v>
      </c>
      <c r="B197" s="10" t="inlineStr">
        <is>
          <t>Tsuki ga Kirei</t>
        </is>
      </c>
      <c r="C197" s="11" t="inlineStr">
        <is>
          <t>TV</t>
        </is>
      </c>
      <c r="D197" s="12" t="n">
        <v>12</v>
      </c>
      <c r="E197" s="12" t="n">
        <v>12</v>
      </c>
      <c r="F197" s="13">
        <f>IF(D197&gt;0, E197/D197, IF(H197="Completed", 1, 0))</f>
        <v/>
      </c>
      <c r="G197" s="9" t="n">
        <v>6</v>
      </c>
      <c r="H197" s="11" t="inlineStr">
        <is>
          <t>Completed</t>
        </is>
      </c>
      <c r="I197" s="10" t="inlineStr">
        <is>
          <t>Drama, Romance, Slice of Life</t>
        </is>
      </c>
      <c r="J197" s="10" t="inlineStr">
        <is>
          <t>feel.</t>
        </is>
      </c>
      <c r="K197" s="14" t="n">
        <v>7.8</v>
      </c>
      <c r="L197" s="15" t="inlineStr">
        <is>
          <t>https://myanimelist.net/anime/34822</t>
        </is>
      </c>
    </row>
    <row r="198" ht="20" customHeight="1">
      <c r="A198" s="2" t="n">
        <v>28025</v>
      </c>
      <c r="B198" s="3" t="inlineStr">
        <is>
          <t>Tsukimonogatari</t>
        </is>
      </c>
      <c r="C198" s="4" t="inlineStr">
        <is>
          <t>TV Special</t>
        </is>
      </c>
      <c r="D198" s="5" t="n">
        <v>4</v>
      </c>
      <c r="E198" s="5" t="n">
        <v>4</v>
      </c>
      <c r="F198" s="6">
        <f>IF(D198&gt;0, E198/D198, IF(H198="Completed", 1, 0))</f>
        <v/>
      </c>
      <c r="G198" s="2" t="n">
        <v>6</v>
      </c>
      <c r="H198" s="4" t="inlineStr">
        <is>
          <t>Completed</t>
        </is>
      </c>
      <c r="I198" s="3" t="inlineStr">
        <is>
          <t>Comedy, Ecchi, Mystery, Supernatural</t>
        </is>
      </c>
      <c r="J198" s="3" t="inlineStr">
        <is>
          <t>Shaft</t>
        </is>
      </c>
      <c r="K198" s="7" t="n">
        <v>7.9</v>
      </c>
      <c r="L198" s="8" t="inlineStr">
        <is>
          <t>https://myanimelist.net/anime/28025</t>
        </is>
      </c>
    </row>
    <row r="199" ht="20" customHeight="1">
      <c r="A199" s="9" t="n">
        <v>5365</v>
      </c>
      <c r="B199" s="10" t="inlineStr">
        <is>
          <t>Tsumiki no Ie</t>
        </is>
      </c>
      <c r="C199" s="11" t="inlineStr">
        <is>
          <t>Movie</t>
        </is>
      </c>
      <c r="D199" s="12" t="n">
        <v>1</v>
      </c>
      <c r="E199" s="12" t="n">
        <v>1</v>
      </c>
      <c r="F199" s="13">
        <f>IF(D199&gt;0, E199/D199, IF(H199="Completed", 1, 0))</f>
        <v/>
      </c>
      <c r="G199" s="9" t="n">
        <v>7</v>
      </c>
      <c r="H199" s="11" t="inlineStr">
        <is>
          <t>Completed</t>
        </is>
      </c>
      <c r="I199" s="10" t="inlineStr">
        <is>
          <t>Drama</t>
        </is>
      </c>
      <c r="J199" s="10" t="inlineStr">
        <is>
          <t>Robot</t>
        </is>
      </c>
      <c r="K199" s="14" t="n">
        <v>7.6</v>
      </c>
      <c r="L199" s="15" t="inlineStr">
        <is>
          <t>https://myanimelist.net/anime/5365</t>
        </is>
      </c>
    </row>
    <row r="200" ht="20" customHeight="1">
      <c r="A200" s="2" t="n">
        <v>37521</v>
      </c>
      <c r="B200" s="3" t="inlineStr">
        <is>
          <t>Vinland Saga</t>
        </is>
      </c>
      <c r="C200" s="4" t="inlineStr">
        <is>
          <t>TV</t>
        </is>
      </c>
      <c r="D200" s="5" t="n">
        <v>24</v>
      </c>
      <c r="E200" s="5" t="n">
        <v>24</v>
      </c>
      <c r="F200" s="6">
        <f>IF(D200&gt;0, E200/D200, IF(H200="Completed", 1, 0))</f>
        <v/>
      </c>
      <c r="G200" s="2" t="n">
        <v>9</v>
      </c>
      <c r="H200" s="4" t="inlineStr">
        <is>
          <t>Completed</t>
        </is>
      </c>
      <c r="I200" s="3" t="inlineStr">
        <is>
          <t>Action, Adventure, Drama</t>
        </is>
      </c>
      <c r="J200" s="3" t="inlineStr">
        <is>
          <t>WIT STUDIO</t>
        </is>
      </c>
      <c r="K200" s="7" t="n">
        <v>8.699999999999999</v>
      </c>
      <c r="L200" s="8" t="inlineStr">
        <is>
          <t>https://myanimelist.net/anime/37521</t>
        </is>
      </c>
    </row>
    <row r="201" ht="20" customHeight="1">
      <c r="A201" s="9" t="n">
        <v>49387</v>
      </c>
      <c r="B201" s="10" t="inlineStr">
        <is>
          <t>Vinland Saga Season 2</t>
        </is>
      </c>
      <c r="C201" s="11" t="inlineStr">
        <is>
          <t>TV</t>
        </is>
      </c>
      <c r="D201" s="12" t="n">
        <v>24</v>
      </c>
      <c r="E201" s="12" t="n">
        <v>24</v>
      </c>
      <c r="F201" s="13">
        <f>IF(D201&gt;0, E201/D201, IF(H201="Completed", 1, 0))</f>
        <v/>
      </c>
      <c r="G201" s="9" t="n">
        <v>9</v>
      </c>
      <c r="H201" s="11" t="inlineStr">
        <is>
          <t>Completed</t>
        </is>
      </c>
      <c r="I201" s="10" t="inlineStr">
        <is>
          <t>Action, Adventure, Drama</t>
        </is>
      </c>
      <c r="J201" s="10" t="inlineStr">
        <is>
          <t>MAPPA</t>
        </is>
      </c>
      <c r="K201" s="14" t="n">
        <v>8.800000000000001</v>
      </c>
      <c r="L201" s="15" t="inlineStr">
        <is>
          <t>https://myanimelist.net/anime/49387</t>
        </is>
      </c>
    </row>
    <row r="202" ht="20" customHeight="1">
      <c r="A202" s="2" t="n">
        <v>33352</v>
      </c>
      <c r="B202" s="3" t="inlineStr">
        <is>
          <t>Violet Evergarden</t>
        </is>
      </c>
      <c r="C202" s="4" t="inlineStr">
        <is>
          <t>TV</t>
        </is>
      </c>
      <c r="D202" s="5" t="n">
        <v>13</v>
      </c>
      <c r="E202" s="5" t="n">
        <v>1</v>
      </c>
      <c r="F202" s="6">
        <f>IF(D202&gt;0, E202/D202, IF(H202="Completed", 1, 0))</f>
        <v/>
      </c>
      <c r="G202" s="2" t="n">
        <v>9</v>
      </c>
      <c r="H202" s="4" t="inlineStr">
        <is>
          <t>Completed</t>
        </is>
      </c>
      <c r="I202" s="3" t="inlineStr">
        <is>
          <t>Drama, Fantasy, Slice of Life</t>
        </is>
      </c>
      <c r="J202" s="3" t="inlineStr">
        <is>
          <t>Kyoto Animation</t>
        </is>
      </c>
      <c r="K202" s="7" t="n">
        <v>8.5</v>
      </c>
      <c r="L202" s="8" t="inlineStr">
        <is>
          <t>https://myanimelist.net/anime/33352</t>
        </is>
      </c>
    </row>
    <row r="203" ht="20" customHeight="1">
      <c r="A203" s="9" t="n">
        <v>39741</v>
      </c>
      <c r="B203" s="10" t="inlineStr">
        <is>
          <t>Violet Evergarden Gaiden: Eien to Jidou Shuki Ningyou</t>
        </is>
      </c>
      <c r="C203" s="11" t="inlineStr">
        <is>
          <t>Movie</t>
        </is>
      </c>
      <c r="D203" s="12" t="n">
        <v>1</v>
      </c>
      <c r="E203" s="12" t="n">
        <v>1</v>
      </c>
      <c r="F203" s="13">
        <f>IF(D203&gt;0, E203/D203, IF(H203="Completed", 1, 0))</f>
        <v/>
      </c>
      <c r="G203" s="9" t="n">
        <v>7</v>
      </c>
      <c r="H203" s="11" t="inlineStr">
        <is>
          <t>Completed</t>
        </is>
      </c>
      <c r="I203" s="10" t="inlineStr">
        <is>
          <t>Drama, Fantasy, Slice of Life</t>
        </is>
      </c>
      <c r="J203" s="10" t="inlineStr">
        <is>
          <t>Kyoto Animation</t>
        </is>
      </c>
      <c r="K203" s="14" t="n">
        <v>8.4</v>
      </c>
      <c r="L203" s="15" t="inlineStr">
        <is>
          <t>https://myanimelist.net/anime/39741</t>
        </is>
      </c>
    </row>
    <row r="204" ht="20" customHeight="1">
      <c r="A204" s="2" t="n">
        <v>37987</v>
      </c>
      <c r="B204" s="3" t="inlineStr">
        <is>
          <t>Violet Evergarden Movie</t>
        </is>
      </c>
      <c r="C204" s="4" t="inlineStr">
        <is>
          <t>Movie</t>
        </is>
      </c>
      <c r="D204" s="5" t="n">
        <v>1</v>
      </c>
      <c r="E204" s="5" t="n">
        <v>0</v>
      </c>
      <c r="F204" s="6">
        <f>IF(D204&gt;0, E204/D204, IF(H204="Completed", 1, 0))</f>
        <v/>
      </c>
      <c r="G204" s="2" t="n">
        <v>0</v>
      </c>
      <c r="H204" s="4" t="inlineStr">
        <is>
          <t>Plan to Watch</t>
        </is>
      </c>
      <c r="I204" s="3" t="inlineStr">
        <is>
          <t>Drama, Fantasy, Slice of Life</t>
        </is>
      </c>
      <c r="J204" s="3" t="inlineStr">
        <is>
          <t>Kyoto Animation</t>
        </is>
      </c>
      <c r="K204" s="7" t="n">
        <v>8.699999999999999</v>
      </c>
      <c r="L204" s="8" t="inlineStr">
        <is>
          <t>https://myanimelist.net/anime/37987</t>
        </is>
      </c>
    </row>
    <row r="205" ht="20" customHeight="1">
      <c r="A205" s="9" t="n">
        <v>37095</v>
      </c>
      <c r="B205" s="10" t="inlineStr">
        <is>
          <t>Violet Evergarden: Kitto "Ai" wo Shiru Hi ga Kuru no Darou</t>
        </is>
      </c>
      <c r="C205" s="11" t="inlineStr">
        <is>
          <t>Special</t>
        </is>
      </c>
      <c r="D205" s="12" t="n">
        <v>1</v>
      </c>
      <c r="E205" s="12" t="n">
        <v>1</v>
      </c>
      <c r="F205" s="13">
        <f>IF(D205&gt;0, E205/D205, IF(H205="Completed", 1, 0))</f>
        <v/>
      </c>
      <c r="G205" s="9" t="n">
        <v>7</v>
      </c>
      <c r="H205" s="11" t="inlineStr">
        <is>
          <t>Completed</t>
        </is>
      </c>
      <c r="I205" s="10" t="inlineStr">
        <is>
          <t>Drama, Fantasy, Romance, Slice of Life</t>
        </is>
      </c>
      <c r="J205" s="10" t="inlineStr">
        <is>
          <t>Kyoto Animation</t>
        </is>
      </c>
      <c r="K205" s="14" t="n">
        <v>8.199999999999999</v>
      </c>
      <c r="L205" s="15" t="inlineStr">
        <is>
          <t>https://myanimelist.net/anime/37095</t>
        </is>
      </c>
    </row>
    <row r="206" ht="20" customHeight="1">
      <c r="A206" s="2" t="n">
        <v>6956</v>
      </c>
      <c r="B206" s="3" t="inlineStr">
        <is>
          <t>Working!!</t>
        </is>
      </c>
      <c r="C206" s="4" t="inlineStr">
        <is>
          <t>TV</t>
        </is>
      </c>
      <c r="D206" s="5" t="n">
        <v>13</v>
      </c>
      <c r="E206" s="5" t="n">
        <v>13</v>
      </c>
      <c r="F206" s="6">
        <f>IF(D206&gt;0, E206/D206, IF(H206="Completed", 1, 0))</f>
        <v/>
      </c>
      <c r="G206" s="2" t="n">
        <v>7</v>
      </c>
      <c r="H206" s="4" t="inlineStr">
        <is>
          <t>Completed</t>
        </is>
      </c>
      <c r="I206" s="3" t="inlineStr">
        <is>
          <t>Comedy, Slice of Life</t>
        </is>
      </c>
      <c r="J206" s="3" t="inlineStr">
        <is>
          <t>A-1 Pictures</t>
        </is>
      </c>
      <c r="K206" s="7" t="n">
        <v>7.4</v>
      </c>
      <c r="L206" s="8" t="inlineStr">
        <is>
          <t>https://myanimelist.net/anime/6956</t>
        </is>
      </c>
    </row>
    <row r="207" ht="20" customHeight="1">
      <c r="A207" s="9" t="n">
        <v>25879</v>
      </c>
      <c r="B207" s="10" t="inlineStr">
        <is>
          <t>Working!!!</t>
        </is>
      </c>
      <c r="C207" s="11" t="inlineStr">
        <is>
          <t>TV</t>
        </is>
      </c>
      <c r="D207" s="12" t="n">
        <v>13</v>
      </c>
      <c r="E207" s="12" t="n">
        <v>13</v>
      </c>
      <c r="F207" s="13">
        <f>IF(D207&gt;0, E207/D207, IF(H207="Completed", 1, 0))</f>
        <v/>
      </c>
      <c r="G207" s="9" t="n">
        <v>8</v>
      </c>
      <c r="H207" s="11" t="inlineStr">
        <is>
          <t>Completed</t>
        </is>
      </c>
      <c r="I207" s="10" t="inlineStr">
        <is>
          <t>Comedy, Romance, Slice of Life</t>
        </is>
      </c>
      <c r="J207" s="10" t="inlineStr">
        <is>
          <t>A-1 Pictures</t>
        </is>
      </c>
      <c r="K207" s="14" t="n">
        <v>7.8</v>
      </c>
      <c r="L207" s="15" t="inlineStr">
        <is>
          <t>https://myanimelist.net/anime/25879</t>
        </is>
      </c>
    </row>
    <row r="208" ht="20" customHeight="1">
      <c r="A208" s="2" t="n">
        <v>31715</v>
      </c>
      <c r="B208" s="3" t="inlineStr">
        <is>
          <t>Working!!! Lord of the Takanashi</t>
        </is>
      </c>
      <c r="C208" s="4" t="inlineStr">
        <is>
          <t>Special</t>
        </is>
      </c>
      <c r="D208" s="5" t="n">
        <v>1</v>
      </c>
      <c r="E208" s="5" t="n">
        <v>1</v>
      </c>
      <c r="F208" s="6">
        <f>IF(D208&gt;0, E208/D208, IF(H208="Completed", 1, 0))</f>
        <v/>
      </c>
      <c r="G208" s="2" t="n">
        <v>7</v>
      </c>
      <c r="H208" s="4" t="inlineStr">
        <is>
          <t>Completed</t>
        </is>
      </c>
      <c r="I208" s="3" t="inlineStr">
        <is>
          <t>Comedy, Romance, Slice of Life</t>
        </is>
      </c>
      <c r="J208" s="3" t="inlineStr">
        <is>
          <t>A-1 Pictures</t>
        </is>
      </c>
      <c r="K208" s="7" t="n">
        <v>8</v>
      </c>
      <c r="L208" s="8" t="inlineStr">
        <is>
          <t>https://myanimelist.net/anime/31715</t>
        </is>
      </c>
    </row>
    <row r="209" ht="20" customHeight="1">
      <c r="A209" s="9" t="n">
        <v>10521</v>
      </c>
      <c r="B209" s="10" t="inlineStr">
        <is>
          <t>Working'!!</t>
        </is>
      </c>
      <c r="C209" s="11" t="inlineStr">
        <is>
          <t>TV</t>
        </is>
      </c>
      <c r="D209" s="12" t="n">
        <v>13</v>
      </c>
      <c r="E209" s="12" t="n">
        <v>13</v>
      </c>
      <c r="F209" s="13">
        <f>IF(D209&gt;0, E209/D209, IF(H209="Completed", 1, 0))</f>
        <v/>
      </c>
      <c r="G209" s="9" t="n">
        <v>7</v>
      </c>
      <c r="H209" s="11" t="inlineStr">
        <is>
          <t>Completed</t>
        </is>
      </c>
      <c r="I209" s="10" t="inlineStr">
        <is>
          <t>Comedy, Slice of Life</t>
        </is>
      </c>
      <c r="J209" s="10" t="inlineStr">
        <is>
          <t>A-1 Pictures</t>
        </is>
      </c>
      <c r="K209" s="14" t="n">
        <v>7.6</v>
      </c>
      <c r="L209" s="15" t="inlineStr">
        <is>
          <t>https://myanimelist.net/anime/10521</t>
        </is>
      </c>
    </row>
    <row r="210" ht="20" customHeight="1">
      <c r="A210" s="2" t="n">
        <v>35968</v>
      </c>
      <c r="B210" s="3" t="inlineStr">
        <is>
          <t>Wotaku ni Koi wa Muzukashii</t>
        </is>
      </c>
      <c r="C210" s="4" t="inlineStr">
        <is>
          <t>TV</t>
        </is>
      </c>
      <c r="D210" s="5" t="n">
        <v>11</v>
      </c>
      <c r="E210" s="5" t="n">
        <v>11</v>
      </c>
      <c r="F210" s="6">
        <f>IF(D210&gt;0, E210/D210, IF(H210="Completed", 1, 0))</f>
        <v/>
      </c>
      <c r="G210" s="2" t="n">
        <v>7</v>
      </c>
      <c r="H210" s="4" t="inlineStr">
        <is>
          <t>Completed</t>
        </is>
      </c>
      <c r="I210" s="3" t="inlineStr">
        <is>
          <t>Comedy, Romance, Slice of Life</t>
        </is>
      </c>
      <c r="J210" s="3" t="inlineStr">
        <is>
          <t>A-1 Pictures</t>
        </is>
      </c>
      <c r="K210" s="7" t="n">
        <v>7.8</v>
      </c>
      <c r="L210" s="8" t="inlineStr">
        <is>
          <t>https://myanimelist.net/anime/35968</t>
        </is>
      </c>
    </row>
    <row r="211" ht="20" customHeight="1">
      <c r="A211" s="9" t="n">
        <v>14813</v>
      </c>
      <c r="B211" s="10" t="inlineStr">
        <is>
          <t>Yahari Ore no Seishun Love Comedy wa Machigatteiru.</t>
        </is>
      </c>
      <c r="C211" s="11" t="inlineStr">
        <is>
          <t>TV</t>
        </is>
      </c>
      <c r="D211" s="12" t="n">
        <v>13</v>
      </c>
      <c r="E211" s="12" t="n">
        <v>13</v>
      </c>
      <c r="F211" s="13">
        <f>IF(D211&gt;0, E211/D211, IF(H211="Completed", 1, 0))</f>
        <v/>
      </c>
      <c r="G211" s="9" t="n">
        <v>7</v>
      </c>
      <c r="H211" s="11" t="inlineStr">
        <is>
          <t>Completed</t>
        </is>
      </c>
      <c r="I211" s="10" t="inlineStr">
        <is>
          <t>Comedy, Drama, Romance, Slice of Life</t>
        </is>
      </c>
      <c r="J211" s="10" t="inlineStr">
        <is>
          <t>Brain's Base</t>
        </is>
      </c>
      <c r="K211" s="14" t="n">
        <v>7.8</v>
      </c>
      <c r="L211" s="15" t="inlineStr">
        <is>
          <t>https://myanimelist.net/anime/14813</t>
        </is>
      </c>
    </row>
    <row r="212" ht="20" customHeight="1">
      <c r="A212" s="2" t="n">
        <v>39547</v>
      </c>
      <c r="B212" s="3" t="inlineStr">
        <is>
          <t>Yahari Ore no Seishun Love Comedy wa Machigatteiru. Kan</t>
        </is>
      </c>
      <c r="C212" s="4" t="inlineStr">
        <is>
          <t>TV</t>
        </is>
      </c>
      <c r="D212" s="5" t="n">
        <v>12</v>
      </c>
      <c r="E212" s="5" t="n">
        <v>12</v>
      </c>
      <c r="F212" s="6">
        <f>IF(D212&gt;0, E212/D212, IF(H212="Completed", 1, 0))</f>
        <v/>
      </c>
      <c r="G212" s="2" t="n">
        <v>9</v>
      </c>
      <c r="H212" s="4" t="inlineStr">
        <is>
          <t>Completed</t>
        </is>
      </c>
      <c r="I212" s="3" t="inlineStr">
        <is>
          <t>Comedy, Drama, Romance, Slice of Life</t>
        </is>
      </c>
      <c r="J212" s="3" t="inlineStr">
        <is>
          <t>feel.</t>
        </is>
      </c>
      <c r="K212" s="7" t="n">
        <v>8.199999999999999</v>
      </c>
      <c r="L212" s="8" t="inlineStr">
        <is>
          <t>https://myanimelist.net/anime/39547</t>
        </is>
      </c>
    </row>
    <row r="213" ht="20" customHeight="1">
      <c r="A213" s="9" t="n">
        <v>23847</v>
      </c>
      <c r="B213" s="10" t="inlineStr">
        <is>
          <t>Yahari Ore no Seishun Love Comedy wa Machigatteiru. Zoku</t>
        </is>
      </c>
      <c r="C213" s="11" t="inlineStr">
        <is>
          <t>TV</t>
        </is>
      </c>
      <c r="D213" s="12" t="n">
        <v>13</v>
      </c>
      <c r="E213" s="12" t="n">
        <v>13</v>
      </c>
      <c r="F213" s="13">
        <f>IF(D213&gt;0, E213/D213, IF(H213="Completed", 1, 0))</f>
        <v/>
      </c>
      <c r="G213" s="9" t="n">
        <v>8</v>
      </c>
      <c r="H213" s="11" t="inlineStr">
        <is>
          <t>Completed</t>
        </is>
      </c>
      <c r="I213" s="10" t="inlineStr">
        <is>
          <t>Comedy, Drama, Romance, Slice of Life</t>
        </is>
      </c>
      <c r="J213" s="10" t="inlineStr">
        <is>
          <t>feel.</t>
        </is>
      </c>
      <c r="K213" s="14" t="n">
        <v>8.1</v>
      </c>
      <c r="L213" s="15" t="inlineStr">
        <is>
          <t>https://myanimelist.net/anime/23847</t>
        </is>
      </c>
    </row>
    <row r="214" ht="20" customHeight="1">
      <c r="A214" s="2" t="n">
        <v>37779</v>
      </c>
      <c r="B214" s="3" t="inlineStr">
        <is>
          <t>Yakusoku no Neverland</t>
        </is>
      </c>
      <c r="C214" s="4" t="inlineStr">
        <is>
          <t>TV</t>
        </is>
      </c>
      <c r="D214" s="5" t="n">
        <v>12</v>
      </c>
      <c r="E214" s="5" t="n">
        <v>12</v>
      </c>
      <c r="F214" s="6">
        <f>IF(D214&gt;0, E214/D214, IF(H214="Completed", 1, 0))</f>
        <v/>
      </c>
      <c r="G214" s="2" t="n">
        <v>8</v>
      </c>
      <c r="H214" s="4" t="inlineStr">
        <is>
          <t>Completed</t>
        </is>
      </c>
      <c r="I214" s="3" t="inlineStr">
        <is>
          <t>Drama, Fantasy, Horror, Mystery, Psychological, Thriller</t>
        </is>
      </c>
      <c r="J214" s="3" t="inlineStr">
        <is>
          <t>CloverWorks</t>
        </is>
      </c>
      <c r="K214" s="7" t="n">
        <v>8.300000000000001</v>
      </c>
      <c r="L214" s="8" t="inlineStr">
        <is>
          <t>https://myanimelist.net/anime/37779</t>
        </is>
      </c>
    </row>
    <row r="215" ht="20" customHeight="1">
      <c r="A215" s="9" t="n">
        <v>35507</v>
      </c>
      <c r="B215" s="10" t="inlineStr">
        <is>
          <t>Youkoso Jitsuryoku Shijou Shugi no Kyoushitsu e</t>
        </is>
      </c>
      <c r="C215" s="11" t="inlineStr">
        <is>
          <t>TV</t>
        </is>
      </c>
      <c r="D215" s="12" t="n">
        <v>12</v>
      </c>
      <c r="E215" s="12" t="n">
        <v>12</v>
      </c>
      <c r="F215" s="13">
        <f>IF(D215&gt;0, E215/D215, IF(H215="Completed", 1, 0))</f>
        <v/>
      </c>
      <c r="G215" s="9" t="n">
        <v>7</v>
      </c>
      <c r="H215" s="11" t="inlineStr">
        <is>
          <t>Completed</t>
        </is>
      </c>
      <c r="I215" s="10" t="inlineStr">
        <is>
          <t>Drama, Psychological</t>
        </is>
      </c>
      <c r="J215" s="10" t="inlineStr">
        <is>
          <t>Lerche</t>
        </is>
      </c>
      <c r="K215" s="14" t="n">
        <v>7.6</v>
      </c>
      <c r="L215" s="15" t="inlineStr">
        <is>
          <t>https://myanimelist.net/anime/35507</t>
        </is>
      </c>
    </row>
    <row r="216" ht="20" customHeight="1">
      <c r="A216" s="2" t="n">
        <v>34798</v>
      </c>
      <c r="B216" s="3" t="inlineStr">
        <is>
          <t>Yuru Camp△</t>
        </is>
      </c>
      <c r="C216" s="4" t="inlineStr">
        <is>
          <t>TV</t>
        </is>
      </c>
      <c r="D216" s="5" t="n">
        <v>12</v>
      </c>
      <c r="E216" s="5" t="n">
        <v>12</v>
      </c>
      <c r="F216" s="6">
        <f>IF(D216&gt;0, E216/D216, IF(H216="Completed", 1, 0))</f>
        <v/>
      </c>
      <c r="G216" s="2" t="n">
        <v>6</v>
      </c>
      <c r="H216" s="4" t="inlineStr">
        <is>
          <t>Completed</t>
        </is>
      </c>
      <c r="I216" s="3" t="inlineStr">
        <is>
          <t>Comedy, Slice of Life</t>
        </is>
      </c>
      <c r="J216" s="3" t="inlineStr">
        <is>
          <t>C-Station</t>
        </is>
      </c>
      <c r="K216" s="7" t="n">
        <v>8.1</v>
      </c>
      <c r="L216" s="8" t="inlineStr">
        <is>
          <t>https://myanimelist.net/anime/34798</t>
        </is>
      </c>
    </row>
    <row r="217" ht="20" customHeight="1">
      <c r="A217" s="9" t="n">
        <v>23283</v>
      </c>
      <c r="B217" s="10" t="inlineStr">
        <is>
          <t>Zankyou no Terror</t>
        </is>
      </c>
      <c r="C217" s="11" t="inlineStr">
        <is>
          <t>TV</t>
        </is>
      </c>
      <c r="D217" s="12" t="n">
        <v>11</v>
      </c>
      <c r="E217" s="12" t="n">
        <v>11</v>
      </c>
      <c r="F217" s="13">
        <f>IF(D217&gt;0, E217/D217, IF(H217="Completed", 1, 0))</f>
        <v/>
      </c>
      <c r="G217" s="9" t="n">
        <v>7</v>
      </c>
      <c r="H217" s="11" t="inlineStr">
        <is>
          <t>Completed</t>
        </is>
      </c>
      <c r="I217" s="10" t="inlineStr">
        <is>
          <t>Drama, Mystery, Psychological, Thriller</t>
        </is>
      </c>
      <c r="J217" s="10" t="inlineStr">
        <is>
          <t>MAPPA</t>
        </is>
      </c>
      <c r="K217" s="14" t="n">
        <v>7.8</v>
      </c>
      <c r="L217" s="15" t="inlineStr">
        <is>
          <t>https://myanimelist.net/anime/23283</t>
        </is>
      </c>
    </row>
    <row r="218" ht="20" customHeight="1">
      <c r="A218" s="2" t="n">
        <v>36999</v>
      </c>
      <c r="B218" s="3" t="inlineStr">
        <is>
          <t>Zoku Owarimonogatari</t>
        </is>
      </c>
      <c r="C218" s="4" t="inlineStr">
        <is>
          <t>TV</t>
        </is>
      </c>
      <c r="D218" s="5" t="n">
        <v>6</v>
      </c>
      <c r="E218" s="5" t="n">
        <v>1</v>
      </c>
      <c r="F218" s="6">
        <f>IF(D218&gt;0, E218/D218, IF(H218="Completed", 1, 0))</f>
        <v/>
      </c>
      <c r="G218" s="2" t="n">
        <v>7</v>
      </c>
      <c r="H218" s="4" t="inlineStr">
        <is>
          <t>Completed</t>
        </is>
      </c>
      <c r="I218" s="3" t="inlineStr">
        <is>
          <t>Drama, Mystery, Supernatural</t>
        </is>
      </c>
      <c r="J218" s="3" t="inlineStr">
        <is>
          <t>Shaft</t>
        </is>
      </c>
      <c r="K218" s="7" t="n">
        <v>8.4</v>
      </c>
      <c r="L218" s="8" t="inlineStr">
        <is>
          <t>https://myanimelist.net/anime/36999</t>
        </is>
      </c>
    </row>
    <row r="219" ht="20" customHeight="1">
      <c r="A219" s="9" t="n">
        <v>54112</v>
      </c>
      <c r="B219" s="10" t="inlineStr">
        <is>
          <t>Zom 100: Zombie ni Naru made ni Shitai 100 no Koto</t>
        </is>
      </c>
      <c r="C219" s="11" t="inlineStr">
        <is>
          <t>TV</t>
        </is>
      </c>
      <c r="D219" s="12" t="n">
        <v>12</v>
      </c>
      <c r="E219" s="12" t="n">
        <v>12</v>
      </c>
      <c r="F219" s="13">
        <f>IF(D219&gt;0, E219/D219, IF(H219="Completed", 1, 0))</f>
        <v/>
      </c>
      <c r="G219" s="9" t="n">
        <v>7</v>
      </c>
      <c r="H219" s="11" t="inlineStr">
        <is>
          <t>Completed</t>
        </is>
      </c>
      <c r="I219" s="10" t="inlineStr">
        <is>
          <t>Action, Adventure, Comedy, Horror, Supernatural</t>
        </is>
      </c>
      <c r="J219" s="10" t="inlineStr">
        <is>
          <t>BUG FILMS</t>
        </is>
      </c>
      <c r="K219" s="14" t="n">
        <v>7.6</v>
      </c>
      <c r="L219" s="15" t="inlineStr">
        <is>
          <t>https://myanimelist.net/anime/54112</t>
        </is>
      </c>
    </row>
    <row r="220" ht="20" customHeight="1">
      <c r="A220" s="2" t="n">
        <v>52034</v>
      </c>
      <c r="B220" s="3" t="inlineStr">
        <is>
          <t>[Oshi no Ko]</t>
        </is>
      </c>
      <c r="C220" s="4" t="inlineStr">
        <is>
          <t>TV</t>
        </is>
      </c>
      <c r="D220" s="5" t="n">
        <v>11</v>
      </c>
      <c r="E220" s="5" t="n">
        <v>11</v>
      </c>
      <c r="F220" s="6">
        <f>IF(D220&gt;0, E220/D220, IF(H220="Completed", 1, 0))</f>
        <v/>
      </c>
      <c r="G220" s="2" t="n">
        <v>8</v>
      </c>
      <c r="H220" s="4" t="inlineStr">
        <is>
          <t>Completed</t>
        </is>
      </c>
      <c r="I220" s="3" t="inlineStr">
        <is>
          <t>Drama, Mystery, Psychological, Supernatural</t>
        </is>
      </c>
      <c r="J220" s="3" t="inlineStr">
        <is>
          <t>Doga Kobo</t>
        </is>
      </c>
      <c r="K220" s="7" t="n">
        <v>8.4</v>
      </c>
      <c r="L220" s="8" t="inlineStr">
        <is>
          <t>https://myanimelist.net/anime/52034</t>
        </is>
      </c>
    </row>
  </sheetData>
  <autoFilter ref="A1:L220"/>
  <conditionalFormatting sqref="G2:G220">
    <cfRule type="colorScale" priority="1">
      <colorScale>
        <cfvo type="num" val="1"/>
        <cfvo type="num" val="6"/>
        <cfvo type="num" val="10"/>
        <color rgb="00FCA5A5"/>
        <color rgb="00FDE047"/>
        <color rgb="0086EFAC"/>
      </colorScale>
    </cfRule>
  </conditionalFormatting>
  <conditionalFormatting sqref="H2:H220">
    <cfRule type="cellIs" priority="2" operator="equal" dxfId="0">
      <formula>"Completed"</formula>
    </cfRule>
    <cfRule type="cellIs" priority="3" operator="equal" dxfId="1">
      <formula>"Watching"</formula>
    </cfRule>
    <cfRule type="cellIs" priority="4" operator="equal" dxfId="1">
      <formula>"Reading"</formula>
    </cfRule>
    <cfRule type="cellIs" priority="5" operator="equal" dxfId="2">
      <formula>"Plan to Watch"</formula>
    </cfRule>
    <cfRule type="cellIs" priority="6" operator="equal" dxfId="2">
      <formula>"Plan to Read"</formula>
    </cfRule>
    <cfRule type="cellIs" priority="7" operator="equal" dxfId="3">
      <formula>"Dropped"</formula>
    </cfRule>
    <cfRule type="cellIs" priority="8" operator="equal" dxfId="4">
      <formula>"On-Hold"</formula>
    </cfRule>
  </conditionalFormatting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4" customWidth="1" min="8" max="8"/>
    <col width="12" customWidth="1" min="9" max="9"/>
    <col width="16" customWidth="1" min="10" max="10"/>
    <col width="50" customWidth="1" min="11" max="11"/>
    <col width="50" customWidth="1" min="12" max="12"/>
    <col width="16" customWidth="1" min="13" max="13"/>
    <col width="40" customWidth="1" min="14" max="14"/>
  </cols>
  <sheetData>
    <row r="1" ht="28" customHeight="1">
      <c r="A1" s="1" t="inlineStr">
        <is>
          <t>MAL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Chapters</t>
        </is>
      </c>
      <c r="E1" s="1" t="inlineStr">
        <is>
          <t>Volumes</t>
        </is>
      </c>
      <c r="F1" s="1" t="inlineStr">
        <is>
          <t>Read Chapters</t>
        </is>
      </c>
      <c r="G1" s="1" t="inlineStr">
        <is>
          <t>Read Volumes</t>
        </is>
      </c>
      <c r="H1" s="1" t="inlineStr">
        <is>
          <t>Progress %</t>
        </is>
      </c>
      <c r="I1" s="1" t="inlineStr">
        <is>
          <t>My Score</t>
        </is>
      </c>
      <c r="J1" s="1" t="inlineStr">
        <is>
          <t>Status</t>
        </is>
      </c>
      <c r="K1" s="1" t="inlineStr">
        <is>
          <t>Genres</t>
        </is>
      </c>
      <c r="L1" s="1" t="inlineStr">
        <is>
          <t>Authors</t>
        </is>
      </c>
      <c r="M1" s="1" t="inlineStr">
        <is>
          <t>Global Score</t>
        </is>
      </c>
      <c r="N1" s="1" t="inlineStr">
        <is>
          <t>MAL URL</t>
        </is>
      </c>
    </row>
    <row r="2" ht="20" customHeight="1">
      <c r="A2" s="2" t="n">
        <v>103851</v>
      </c>
      <c r="B2" s="3" t="inlineStr">
        <is>
          <t>5-toubun no Hanayome</t>
        </is>
      </c>
      <c r="C2" s="4" t="inlineStr">
        <is>
          <t>Manga</t>
        </is>
      </c>
      <c r="D2" s="5" t="n">
        <v>122</v>
      </c>
      <c r="E2" s="5" t="n">
        <v>14</v>
      </c>
      <c r="F2" s="5" t="n">
        <v>122</v>
      </c>
      <c r="G2" s="5" t="n">
        <v>14</v>
      </c>
      <c r="H2" s="6">
        <f>IF(D2&gt;0, F2/D2, IF(J2="Completed", 1, 0))</f>
        <v/>
      </c>
      <c r="I2" s="2" t="n">
        <v>8</v>
      </c>
      <c r="J2" s="4" t="inlineStr">
        <is>
          <t>Completed</t>
        </is>
      </c>
      <c r="K2" s="3" t="inlineStr">
        <is>
          <t>Comedy, Drama, Romance</t>
        </is>
      </c>
      <c r="L2" s="3" t="inlineStr">
        <is>
          <t>Negi Haruba</t>
        </is>
      </c>
      <c r="M2" s="7" t="n">
        <v>7.7</v>
      </c>
      <c r="N2" s="8" t="inlineStr">
        <is>
          <t>https://myanimelist.net/manga/103851</t>
        </is>
      </c>
    </row>
    <row r="3" ht="20" customHeight="1">
      <c r="A3" s="9" t="n">
        <v>24705</v>
      </c>
      <c r="B3" s="10" t="inlineStr">
        <is>
          <t>Aku no Hana</t>
        </is>
      </c>
      <c r="C3" s="11" t="inlineStr">
        <is>
          <t>Manga</t>
        </is>
      </c>
      <c r="D3" s="12" t="n">
        <v>58</v>
      </c>
      <c r="E3" s="12" t="n">
        <v>11</v>
      </c>
      <c r="F3" s="12" t="n">
        <v>58</v>
      </c>
      <c r="G3" s="12" t="n">
        <v>11</v>
      </c>
      <c r="H3" s="13">
        <f>IF(D3&gt;0, F3/D3, IF(J3="Completed", 1, 0))</f>
        <v/>
      </c>
      <c r="I3" s="9" t="n">
        <v>9</v>
      </c>
      <c r="J3" s="11" t="inlineStr">
        <is>
          <t>Completed</t>
        </is>
      </c>
      <c r="K3" s="10" t="inlineStr">
        <is>
          <t>Drama, Psychological, Romance</t>
        </is>
      </c>
      <c r="L3" s="10" t="inlineStr">
        <is>
          <t>Shuuzou Oshimi</t>
        </is>
      </c>
      <c r="M3" s="14" t="n">
        <v>8.1</v>
      </c>
      <c r="N3" s="15" t="inlineStr">
        <is>
          <t>https://myanimelist.net/manga/24705</t>
        </is>
      </c>
    </row>
    <row r="4" ht="20" customHeight="1">
      <c r="A4" s="2" t="n">
        <v>2</v>
      </c>
      <c r="B4" s="3" t="inlineStr">
        <is>
          <t>Berserk</t>
        </is>
      </c>
      <c r="C4" s="4" t="inlineStr">
        <is>
          <t>Manga</t>
        </is>
      </c>
      <c r="D4" s="5" t="n">
        <v>0</v>
      </c>
      <c r="E4" s="5" t="n">
        <v>0</v>
      </c>
      <c r="F4" s="5" t="n">
        <v>380</v>
      </c>
      <c r="G4" s="5" t="n">
        <v>41</v>
      </c>
      <c r="H4" s="6">
        <f>IF(D4&gt;0, F4/D4, IF(J4="Completed", 1, 0))</f>
        <v/>
      </c>
      <c r="I4" s="2" t="n">
        <v>10</v>
      </c>
      <c r="J4" s="4" t="inlineStr">
        <is>
          <t>Completed</t>
        </is>
      </c>
      <c r="K4" s="3" t="inlineStr">
        <is>
          <t>Action, Adventure, Drama, Fantasy, Horror, Psychological</t>
        </is>
      </c>
      <c r="L4" s="3" t="inlineStr">
        <is>
          <t>Kentarou Miura, Studio Gaga</t>
        </is>
      </c>
      <c r="M4" s="7" t="n">
        <v>9.199999999999999</v>
      </c>
      <c r="N4" s="8" t="inlineStr">
        <is>
          <t>https://myanimelist.net/manga/2</t>
        </is>
      </c>
    </row>
    <row r="5" ht="20" customHeight="1">
      <c r="A5" s="9" t="n">
        <v>23419</v>
      </c>
      <c r="B5" s="10" t="inlineStr">
        <is>
          <t>Byousoku 5 Centimeter</t>
        </is>
      </c>
      <c r="C5" s="11" t="inlineStr">
        <is>
          <t>Manga</t>
        </is>
      </c>
      <c r="D5" s="12" t="n">
        <v>11</v>
      </c>
      <c r="E5" s="12" t="n">
        <v>2</v>
      </c>
      <c r="F5" s="12" t="n">
        <v>11</v>
      </c>
      <c r="G5" s="12" t="n">
        <v>2</v>
      </c>
      <c r="H5" s="13">
        <f>IF(D5&gt;0, F5/D5, IF(J5="Completed", 1, 0))</f>
        <v/>
      </c>
      <c r="I5" s="9" t="n">
        <v>9</v>
      </c>
      <c r="J5" s="11" t="inlineStr">
        <is>
          <t>Completed</t>
        </is>
      </c>
      <c r="K5" s="10" t="inlineStr">
        <is>
          <t>Drama, Romance</t>
        </is>
      </c>
      <c r="L5" s="10" t="inlineStr">
        <is>
          <t>Makoto Shinkai, Yukiko Seike</t>
        </is>
      </c>
      <c r="M5" s="14" t="n">
        <v>7.4</v>
      </c>
      <c r="N5" s="15" t="inlineStr">
        <is>
          <t>https://myanimelist.net/manga/23419</t>
        </is>
      </c>
    </row>
    <row r="6" ht="20" customHeight="1">
      <c r="A6" s="2" t="n">
        <v>116778</v>
      </c>
      <c r="B6" s="3" t="inlineStr">
        <is>
          <t>Chainsaw Man</t>
        </is>
      </c>
      <c r="C6" s="4" t="inlineStr">
        <is>
          <t>Manga</t>
        </is>
      </c>
      <c r="D6" s="5" t="n">
        <v>232</v>
      </c>
      <c r="E6" s="5" t="n">
        <v>24</v>
      </c>
      <c r="F6" s="5" t="n">
        <v>9</v>
      </c>
      <c r="G6" s="5" t="n">
        <v>0</v>
      </c>
      <c r="H6" s="6">
        <f>IF(D6&gt;0, F6/D6, IF(J6="Completed", 1, 0))</f>
        <v/>
      </c>
      <c r="I6" s="2" t="n">
        <v>7</v>
      </c>
      <c r="J6" s="4" t="inlineStr">
        <is>
          <t>Reading</t>
        </is>
      </c>
      <c r="K6" s="3" t="inlineStr">
        <is>
          <t>Action, Comedy, Drama, Horror, Supernatural</t>
        </is>
      </c>
      <c r="L6" s="3" t="inlineStr">
        <is>
          <t>Tatsuki Fujimoto</t>
        </is>
      </c>
      <c r="M6" s="7" t="n">
        <v>8.5</v>
      </c>
      <c r="N6" s="8" t="inlineStr">
        <is>
          <t>https://myanimelist.net/manga/116778</t>
        </is>
      </c>
    </row>
    <row r="7" ht="20" customHeight="1">
      <c r="A7" s="9" t="n">
        <v>104271</v>
      </c>
      <c r="B7" s="10" t="inlineStr">
        <is>
          <t>Chi no Wadachi</t>
        </is>
      </c>
      <c r="C7" s="11" t="inlineStr">
        <is>
          <t>Manga</t>
        </is>
      </c>
      <c r="D7" s="12" t="n">
        <v>153</v>
      </c>
      <c r="E7" s="12" t="n">
        <v>17</v>
      </c>
      <c r="F7" s="12" t="n">
        <v>0</v>
      </c>
      <c r="G7" s="12" t="n">
        <v>0</v>
      </c>
      <c r="H7" s="13">
        <f>IF(D7&gt;0, F7/D7, IF(J7="Completed", 1, 0))</f>
        <v/>
      </c>
      <c r="I7" s="9" t="n">
        <v>0</v>
      </c>
      <c r="J7" s="11" t="inlineStr">
        <is>
          <t>Reading</t>
        </is>
      </c>
      <c r="K7" s="10" t="inlineStr">
        <is>
          <t>Drama, Horror, Psychological</t>
        </is>
      </c>
      <c r="L7" s="10" t="inlineStr">
        <is>
          <t>Shuuzou Oshimi</t>
        </is>
      </c>
      <c r="M7" s="14" t="n">
        <v>8</v>
      </c>
      <c r="N7" s="15" t="inlineStr">
        <is>
          <t>https://myanimelist.net/manga/104271</t>
        </is>
      </c>
    </row>
    <row r="8" ht="20" customHeight="1">
      <c r="A8" s="2" t="n">
        <v>135496</v>
      </c>
      <c r="B8" s="3" t="inlineStr">
        <is>
          <t>Dandadan</t>
        </is>
      </c>
      <c r="C8" s="4" t="inlineStr">
        <is>
          <t>Manga</t>
        </is>
      </c>
      <c r="D8" s="5" t="n">
        <v>0</v>
      </c>
      <c r="E8" s="5" t="n">
        <v>0</v>
      </c>
      <c r="F8" s="5" t="n">
        <v>0</v>
      </c>
      <c r="G8" s="5" t="n">
        <v>0</v>
      </c>
      <c r="H8" s="6">
        <f>IF(D8&gt;0, F8/D8, IF(J8="Completed", 1, 0))</f>
        <v/>
      </c>
      <c r="I8" s="2" t="n">
        <v>0</v>
      </c>
      <c r="J8" s="4" t="inlineStr">
        <is>
          <t>Reading</t>
        </is>
      </c>
      <c r="K8" s="3" t="inlineStr">
        <is>
          <t>Action, Comedy, Drama, Romance, Sci-Fi, Supernatural</t>
        </is>
      </c>
      <c r="L8" s="3" t="inlineStr">
        <is>
          <t>Yukinobu Tatsu</t>
        </is>
      </c>
      <c r="M8" s="7" t="n">
        <v>8.199999999999999</v>
      </c>
      <c r="N8" s="8" t="inlineStr">
        <is>
          <t>https://myanimelist.net/manga/135496</t>
        </is>
      </c>
    </row>
    <row r="9" ht="20" customHeight="1">
      <c r="A9" s="9" t="n">
        <v>70801</v>
      </c>
      <c r="B9" s="10" t="inlineStr">
        <is>
          <t>Dead Dead Demons Dededede Destruction</t>
        </is>
      </c>
      <c r="C9" s="11" t="inlineStr">
        <is>
          <t>Manga</t>
        </is>
      </c>
      <c r="D9" s="12" t="n">
        <v>101</v>
      </c>
      <c r="E9" s="12" t="n">
        <v>12</v>
      </c>
      <c r="F9" s="12" t="n">
        <v>0</v>
      </c>
      <c r="G9" s="12" t="n">
        <v>0</v>
      </c>
      <c r="H9" s="13">
        <f>IF(D9&gt;0, F9/D9, IF(J9="Completed", 1, 0))</f>
        <v/>
      </c>
      <c r="I9" s="9" t="n">
        <v>0</v>
      </c>
      <c r="J9" s="11" t="inlineStr">
        <is>
          <t>Reading</t>
        </is>
      </c>
      <c r="K9" s="10" t="inlineStr">
        <is>
          <t>Comedy, Drama, Sci-Fi, Slice of Life</t>
        </is>
      </c>
      <c r="L9" s="10" t="inlineStr">
        <is>
          <t>Inio Asano, Eric Montesinos</t>
        </is>
      </c>
      <c r="M9" s="14" t="n">
        <v>8.1</v>
      </c>
      <c r="N9" s="15" t="inlineStr">
        <is>
          <t>https://myanimelist.net/manga/70801</t>
        </is>
      </c>
    </row>
    <row r="10" ht="20" customHeight="1">
      <c r="A10" s="2" t="n">
        <v>65981</v>
      </c>
      <c r="B10" s="3" t="inlineStr">
        <is>
          <t>Henshin</t>
        </is>
      </c>
      <c r="C10" s="4" t="inlineStr">
        <is>
          <t>Manga</t>
        </is>
      </c>
      <c r="D10" s="5" t="n">
        <v>7</v>
      </c>
      <c r="E10" s="5" t="n">
        <v>1</v>
      </c>
      <c r="F10" s="5" t="n">
        <v>7</v>
      </c>
      <c r="G10" s="5" t="n">
        <v>1</v>
      </c>
      <c r="H10" s="6">
        <f>IF(D10&gt;0, F10/D10, IF(J10="Completed", 1, 0))</f>
        <v/>
      </c>
      <c r="I10" s="2" t="n">
        <v>7</v>
      </c>
      <c r="J10" s="4" t="inlineStr">
        <is>
          <t>Completed</t>
        </is>
      </c>
      <c r="K10" s="3" t="inlineStr">
        <is>
          <t>Drama, Hentai</t>
        </is>
      </c>
      <c r="L10" s="3" t="inlineStr">
        <is>
          <t>Eru Shindou</t>
        </is>
      </c>
      <c r="M10" s="7" t="n">
        <v>6.4</v>
      </c>
      <c r="N10" s="8" t="inlineStr">
        <is>
          <t>https://myanimelist.net/manga/65981</t>
        </is>
      </c>
    </row>
    <row r="11" ht="20" customHeight="1">
      <c r="A11" s="9" t="n">
        <v>936</v>
      </c>
      <c r="B11" s="10" t="inlineStr">
        <is>
          <t>Homunculus</t>
        </is>
      </c>
      <c r="C11" s="11" t="inlineStr">
        <is>
          <t>Manga</t>
        </is>
      </c>
      <c r="D11" s="12" t="n">
        <v>166</v>
      </c>
      <c r="E11" s="12" t="n">
        <v>15</v>
      </c>
      <c r="F11" s="12" t="n">
        <v>0</v>
      </c>
      <c r="G11" s="12" t="n">
        <v>0</v>
      </c>
      <c r="H11" s="13">
        <f>IF(D11&gt;0, F11/D11, IF(J11="Completed", 1, 0))</f>
        <v/>
      </c>
      <c r="I11" s="9" t="n">
        <v>0</v>
      </c>
      <c r="J11" s="11" t="inlineStr">
        <is>
          <t>Reading</t>
        </is>
      </c>
      <c r="K11" s="10" t="inlineStr">
        <is>
          <t>Drama, Horror, Mystery, Psychological, Supernatural</t>
        </is>
      </c>
      <c r="L11" s="10" t="inlineStr">
        <is>
          <t>Hideo Yamamoto</t>
        </is>
      </c>
      <c r="M11" s="14" t="n">
        <v>8.300000000000001</v>
      </c>
      <c r="N11" s="15" t="inlineStr">
        <is>
          <t>https://myanimelist.net/manga/936</t>
        </is>
      </c>
    </row>
    <row r="12" ht="20" customHeight="1">
      <c r="A12" s="2" t="n">
        <v>42451</v>
      </c>
      <c r="B12" s="3" t="inlineStr">
        <is>
          <t>Horimiya</t>
        </is>
      </c>
      <c r="C12" s="4" t="inlineStr">
        <is>
          <t>Manga</t>
        </is>
      </c>
      <c r="D12" s="5" t="n">
        <v>139</v>
      </c>
      <c r="E12" s="5" t="n">
        <v>17</v>
      </c>
      <c r="F12" s="5" t="n">
        <v>0</v>
      </c>
      <c r="G12" s="5" t="n">
        <v>16</v>
      </c>
      <c r="H12" s="6">
        <f>IF(D12&gt;0, F12/D12, IF(J12="Completed", 1, 0))</f>
        <v/>
      </c>
      <c r="I12" s="2" t="n">
        <v>6</v>
      </c>
      <c r="J12" s="4" t="inlineStr">
        <is>
          <t>Completed</t>
        </is>
      </c>
      <c r="K12" s="3" t="inlineStr">
        <is>
          <t>Comedy, Romance, Slice of Life</t>
        </is>
      </c>
      <c r="L12" s="3" t="inlineStr">
        <is>
          <t>Daisuke Hagiwara, HERO, Studio Charon</t>
        </is>
      </c>
      <c r="M12" s="7" t="n">
        <v>8.199999999999999</v>
      </c>
      <c r="N12" s="8" t="inlineStr">
        <is>
          <t>https://myanimelist.net/manga/42451</t>
        </is>
      </c>
    </row>
    <row r="13" ht="20" customHeight="1">
      <c r="A13" s="9" t="n">
        <v>105084</v>
      </c>
      <c r="B13" s="10" t="inlineStr">
        <is>
          <t>Jibaku Shounen Hanako-kun</t>
        </is>
      </c>
      <c r="C13" s="11" t="inlineStr">
        <is>
          <t>Manga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3">
        <f>IF(D13&gt;0, F13/D13, IF(J13="Completed", 1, 0))</f>
        <v/>
      </c>
      <c r="I13" s="9" t="n">
        <v>0</v>
      </c>
      <c r="J13" s="11" t="inlineStr">
        <is>
          <t>Reading</t>
        </is>
      </c>
      <c r="K13" s="10" t="inlineStr">
        <is>
          <t>Action, Comedy, Drama, Mystery, Romance, Supernatural</t>
        </is>
      </c>
      <c r="L13" s="10" t="inlineStr">
        <is>
          <t>AidaIro</t>
        </is>
      </c>
      <c r="M13" s="14" t="n">
        <v>8.5</v>
      </c>
      <c r="N13" s="15" t="inlineStr">
        <is>
          <t>https://myanimelist.net/manga/105084</t>
        </is>
      </c>
    </row>
    <row r="14" ht="20" customHeight="1">
      <c r="A14" s="2" t="n">
        <v>100448</v>
      </c>
      <c r="B14" s="3" t="inlineStr">
        <is>
          <t>Jumyou wo Kaitotte Moratta. Ichinen ni Tsuki, Ichimanen de.</t>
        </is>
      </c>
      <c r="C14" s="4" t="inlineStr">
        <is>
          <t>Manga</t>
        </is>
      </c>
      <c r="D14" s="5" t="n">
        <v>18</v>
      </c>
      <c r="E14" s="5" t="n">
        <v>3</v>
      </c>
      <c r="F14" s="5" t="n">
        <v>18</v>
      </c>
      <c r="G14" s="5" t="n">
        <v>3</v>
      </c>
      <c r="H14" s="6">
        <f>IF(D14&gt;0, F14/D14, IF(J14="Completed", 1, 0))</f>
        <v/>
      </c>
      <c r="I14" s="2" t="n">
        <v>8</v>
      </c>
      <c r="J14" s="4" t="inlineStr">
        <is>
          <t>Completed</t>
        </is>
      </c>
      <c r="K14" s="3" t="inlineStr">
        <is>
          <t>Drama, Psychological, Romance, Supernatural</t>
        </is>
      </c>
      <c r="L14" s="3" t="inlineStr">
        <is>
          <t>Shouichi Taguchi, Sugaru Miaki</t>
        </is>
      </c>
      <c r="M14" s="7" t="n">
        <v>8.6</v>
      </c>
      <c r="N14" s="8" t="inlineStr">
        <is>
          <t>https://myanimelist.net/manga/100448</t>
        </is>
      </c>
    </row>
    <row r="15" ht="20" customHeight="1">
      <c r="A15" s="9" t="n">
        <v>90125</v>
      </c>
      <c r="B15" s="10" t="inlineStr">
        <is>
          <t>Kaguya-sama wa Kokurasetai: Tensai-tachi no Renai Zunousen</t>
        </is>
      </c>
      <c r="C15" s="11" t="inlineStr">
        <is>
          <t>Manga</t>
        </is>
      </c>
      <c r="D15" s="12" t="n">
        <v>281</v>
      </c>
      <c r="E15" s="12" t="n">
        <v>28</v>
      </c>
      <c r="F15" s="12" t="n">
        <v>224</v>
      </c>
      <c r="G15" s="12" t="n">
        <v>0</v>
      </c>
      <c r="H15" s="13">
        <f>IF(D15&gt;0, F15/D15, IF(J15="Completed", 1, 0))</f>
        <v/>
      </c>
      <c r="I15" s="9" t="n">
        <v>9</v>
      </c>
      <c r="J15" s="11" t="inlineStr">
        <is>
          <t>Completed</t>
        </is>
      </c>
      <c r="K15" s="10" t="inlineStr">
        <is>
          <t>Comedy, Psychological, Romance, Slice of Life</t>
        </is>
      </c>
      <c r="L15" s="10" t="inlineStr">
        <is>
          <t>Aka Akasaka</t>
        </is>
      </c>
      <c r="M15" s="14" t="n">
        <v>8.699999999999999</v>
      </c>
      <c r="N15" s="15" t="inlineStr">
        <is>
          <t>https://myanimelist.net/manga/90125</t>
        </is>
      </c>
    </row>
    <row r="16" ht="20" customHeight="1">
      <c r="A16" s="2" t="n">
        <v>123602</v>
      </c>
      <c r="B16" s="3" t="inlineStr">
        <is>
          <t>Kakkou no Iinazuke</t>
        </is>
      </c>
      <c r="C16" s="4" t="inlineStr">
        <is>
          <t>Manga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6">
        <f>IF(D16&gt;0, F16/D16, IF(J16="Completed", 1, 0))</f>
        <v/>
      </c>
      <c r="I16" s="2" t="n">
        <v>0</v>
      </c>
      <c r="J16" s="4" t="inlineStr">
        <is>
          <t>Reading</t>
        </is>
      </c>
      <c r="K16" s="3" t="inlineStr">
        <is>
          <t>Comedy, Ecchi, Romance</t>
        </is>
      </c>
      <c r="L16" s="3" t="inlineStr">
        <is>
          <t>Miki Yoshikawa, Simona Maccaroni</t>
        </is>
      </c>
      <c r="M16" s="7" t="n">
        <v>6.4</v>
      </c>
      <c r="N16" s="8" t="inlineStr">
        <is>
          <t>https://myanimelist.net/manga/123602</t>
        </is>
      </c>
    </row>
    <row r="17" ht="20" customHeight="1">
      <c r="A17" s="9" t="n">
        <v>108407</v>
      </c>
      <c r="B17" s="10" t="inlineStr">
        <is>
          <t>Kanojo, Okarishimasu</t>
        </is>
      </c>
      <c r="C17" s="11" t="inlineStr">
        <is>
          <t>Manga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3">
        <f>IF(D17&gt;0, F17/D17, IF(J17="Completed", 1, 0))</f>
        <v/>
      </c>
      <c r="I17" s="9" t="n">
        <v>6</v>
      </c>
      <c r="J17" s="11" t="inlineStr">
        <is>
          <t>Completed</t>
        </is>
      </c>
      <c r="K17" s="10" t="inlineStr">
        <is>
          <t>Comedy, Drama, Ecchi, Romance</t>
        </is>
      </c>
      <c r="L17" s="10" t="inlineStr">
        <is>
          <t>Reiji Miyajima</t>
        </is>
      </c>
      <c r="M17" s="14" t="n">
        <v>5.8</v>
      </c>
      <c r="N17" s="15" t="inlineStr">
        <is>
          <t>https://myanimelist.net/manga/108407</t>
        </is>
      </c>
    </row>
    <row r="18" ht="20" customHeight="1">
      <c r="A18" s="2" t="n">
        <v>144267</v>
      </c>
      <c r="B18" s="3" t="inlineStr">
        <is>
          <t>Kaoru Hana wa Rin to Saku</t>
        </is>
      </c>
      <c r="C18" s="4" t="inlineStr">
        <is>
          <t>Manga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6">
        <f>IF(D18&gt;0, F18/D18, IF(J18="Completed", 1, 0))</f>
        <v/>
      </c>
      <c r="I18" s="2" t="n">
        <v>0</v>
      </c>
      <c r="J18" s="4" t="inlineStr">
        <is>
          <t>Reading</t>
        </is>
      </c>
      <c r="K18" s="3" t="inlineStr">
        <is>
          <t>Comedy, Drama, Romance</t>
        </is>
      </c>
      <c r="L18" s="3" t="inlineStr">
        <is>
          <t>Saka Mikami</t>
        </is>
      </c>
      <c r="M18" s="7" t="n">
        <v>8.6</v>
      </c>
      <c r="N18" s="8" t="inlineStr">
        <is>
          <t>https://myanimelist.net/manga/144267</t>
        </is>
      </c>
    </row>
    <row r="19" ht="20" customHeight="1">
      <c r="A19" s="9" t="n">
        <v>121213</v>
      </c>
      <c r="B19" s="10" t="inlineStr">
        <is>
          <t>Kimi wa Houkago Insomnia</t>
        </is>
      </c>
      <c r="C19" s="11" t="inlineStr">
        <is>
          <t>Manga</t>
        </is>
      </c>
      <c r="D19" s="12" t="n">
        <v>125</v>
      </c>
      <c r="E19" s="12" t="n">
        <v>14</v>
      </c>
      <c r="F19" s="12" t="n">
        <v>44</v>
      </c>
      <c r="G19" s="12" t="n">
        <v>0</v>
      </c>
      <c r="H19" s="13">
        <f>IF(D19&gt;0, F19/D19, IF(J19="Completed", 1, 0))</f>
        <v/>
      </c>
      <c r="I19" s="9" t="n">
        <v>0</v>
      </c>
      <c r="J19" s="11" t="inlineStr">
        <is>
          <t>Reading</t>
        </is>
      </c>
      <c r="K19" s="10" t="inlineStr">
        <is>
          <t>Romance, Slice of Life</t>
        </is>
      </c>
      <c r="L19" s="10" t="inlineStr">
        <is>
          <t>Makoto Ojiro</t>
        </is>
      </c>
      <c r="M19" s="14" t="n">
        <v>8.300000000000001</v>
      </c>
      <c r="N19" s="15" t="inlineStr">
        <is>
          <t>https://myanimelist.net/manga/121213</t>
        </is>
      </c>
    </row>
    <row r="20" ht="20" customHeight="1">
      <c r="A20" s="2" t="n">
        <v>7375</v>
      </c>
      <c r="B20" s="3" t="inlineStr">
        <is>
          <t>Kokou no Hito</t>
        </is>
      </c>
      <c r="C20" s="4" t="inlineStr">
        <is>
          <t>Manga</t>
        </is>
      </c>
      <c r="D20" s="5" t="n">
        <v>170</v>
      </c>
      <c r="E20" s="5" t="n">
        <v>17</v>
      </c>
      <c r="F20" s="5" t="n">
        <v>0</v>
      </c>
      <c r="G20" s="5" t="n">
        <v>0</v>
      </c>
      <c r="H20" s="6">
        <f>IF(D20&gt;0, F20/D20, IF(J20="Completed", 1, 0))</f>
        <v/>
      </c>
      <c r="I20" s="2" t="n">
        <v>0</v>
      </c>
      <c r="J20" s="4" t="inlineStr">
        <is>
          <t>Reading</t>
        </is>
      </c>
      <c r="K20" s="3" t="inlineStr">
        <is>
          <t>Adventure, Drama, Psychological, Sports</t>
        </is>
      </c>
      <c r="L20" s="3" t="inlineStr">
        <is>
          <t>Shinichi Sakamoto, Hiroshi Takano, Jirou Nitta, Joanna Estep, Yoshio Nabeta</t>
        </is>
      </c>
      <c r="M20" s="7" t="n">
        <v>8.699999999999999</v>
      </c>
      <c r="N20" s="8" t="inlineStr">
        <is>
          <t>https://myanimelist.net/manga/7375</t>
        </is>
      </c>
    </row>
    <row r="21" ht="20" customHeight="1">
      <c r="A21" s="9" t="n">
        <v>99007</v>
      </c>
      <c r="B21" s="10" t="inlineStr">
        <is>
          <t>Komi-san wa, Comyushou desu.</t>
        </is>
      </c>
      <c r="C21" s="11" t="inlineStr">
        <is>
          <t>Manga</t>
        </is>
      </c>
      <c r="D21" s="12" t="n">
        <v>500</v>
      </c>
      <c r="E21" s="12" t="n">
        <v>37</v>
      </c>
      <c r="F21" s="12" t="n">
        <v>200</v>
      </c>
      <c r="G21" s="12" t="n">
        <v>0</v>
      </c>
      <c r="H21" s="13">
        <f>IF(D21&gt;0, F21/D21, IF(J21="Completed", 1, 0))</f>
        <v/>
      </c>
      <c r="I21" s="9" t="n">
        <v>9</v>
      </c>
      <c r="J21" s="11" t="inlineStr">
        <is>
          <t>Reading</t>
        </is>
      </c>
      <c r="K21" s="10" t="inlineStr">
        <is>
          <t>Comedy, Romance, Slice of Life</t>
        </is>
      </c>
      <c r="L21" s="10" t="inlineStr">
        <is>
          <t>Tomohito Oda, Erwan Lossois, Eve Grandt</t>
        </is>
      </c>
      <c r="M21" s="14" t="n">
        <v>7.7</v>
      </c>
      <c r="N21" s="15" t="inlineStr">
        <is>
          <t>https://myanimelist.net/manga/99007</t>
        </is>
      </c>
    </row>
    <row r="22" ht="20" customHeight="1">
      <c r="A22" s="2" t="n">
        <v>110160</v>
      </c>
      <c r="B22" s="3" t="inlineStr">
        <is>
          <t>Mata, Onaji Yume wo Miteita</t>
        </is>
      </c>
      <c r="C22" s="4" t="inlineStr">
        <is>
          <t>Manga</t>
        </is>
      </c>
      <c r="D22" s="5" t="n">
        <v>12</v>
      </c>
      <c r="E22" s="5" t="n">
        <v>3</v>
      </c>
      <c r="F22" s="5" t="n">
        <v>0</v>
      </c>
      <c r="G22" s="5" t="n">
        <v>0</v>
      </c>
      <c r="H22" s="6">
        <f>IF(D22&gt;0, F22/D22, IF(J22="Completed", 1, 0))</f>
        <v/>
      </c>
      <c r="I22" s="2" t="n">
        <v>0</v>
      </c>
      <c r="J22" s="4" t="inlineStr">
        <is>
          <t>Plan to Read</t>
        </is>
      </c>
      <c r="K22" s="3" t="inlineStr">
        <is>
          <t>Drama, Psychological, Slice of Life, Supernatural</t>
        </is>
      </c>
      <c r="L22" s="3" t="inlineStr">
        <is>
          <t>Izumi Kirihara, Yoru Sumino</t>
        </is>
      </c>
      <c r="M22" s="7" t="n">
        <v>8.300000000000001</v>
      </c>
      <c r="N22" s="8" t="inlineStr">
        <is>
          <t>https://myanimelist.net/manga/110160</t>
        </is>
      </c>
    </row>
    <row r="23" ht="20" customHeight="1">
      <c r="A23" s="9" t="n">
        <v>70259</v>
      </c>
      <c r="B23" s="10" t="inlineStr">
        <is>
          <t>Mushoku Tensei: Isekai Ittara Honki Dasu</t>
        </is>
      </c>
      <c r="C23" s="11" t="inlineStr">
        <is>
          <t>Manga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3">
        <f>IF(D23&gt;0, F23/D23, IF(J23="Completed", 1, 0))</f>
        <v/>
      </c>
      <c r="I23" s="9" t="n">
        <v>0</v>
      </c>
      <c r="J23" s="11" t="inlineStr">
        <is>
          <t>Reading</t>
        </is>
      </c>
      <c r="K23" s="10" t="inlineStr">
        <is>
          <t>Adventure, Drama, Ecchi, Fantasy</t>
        </is>
      </c>
      <c r="L23" s="10" t="inlineStr">
        <is>
          <t>Yuka Fujikawa, Rifujin na Magonote, Rai Enril</t>
        </is>
      </c>
      <c r="M23" s="14" t="n">
        <v>7.8</v>
      </c>
      <c r="N23" s="15" t="inlineStr">
        <is>
          <t>https://myanimelist.net/manga/70259</t>
        </is>
      </c>
    </row>
    <row r="24" ht="20" customHeight="1">
      <c r="A24" s="2" t="n">
        <v>11</v>
      </c>
      <c r="B24" s="3" t="inlineStr">
        <is>
          <t>Naruto</t>
        </is>
      </c>
      <c r="C24" s="4" t="inlineStr">
        <is>
          <t>Manga</t>
        </is>
      </c>
      <c r="D24" s="5" t="n">
        <v>700</v>
      </c>
      <c r="E24" s="5" t="n">
        <v>72</v>
      </c>
      <c r="F24" s="5" t="n">
        <v>700</v>
      </c>
      <c r="G24" s="5" t="n">
        <v>72</v>
      </c>
      <c r="H24" s="6">
        <f>IF(D24&gt;0, F24/D24, IF(J24="Completed", 1, 0))</f>
        <v/>
      </c>
      <c r="I24" s="2" t="n">
        <v>8</v>
      </c>
      <c r="J24" s="4" t="inlineStr">
        <is>
          <t>Completed</t>
        </is>
      </c>
      <c r="K24" s="3" t="inlineStr">
        <is>
          <t>Action, Adventure, Supernatural</t>
        </is>
      </c>
      <c r="L24" s="3" t="inlineStr">
        <is>
          <t>Masashi Kishimoto</t>
        </is>
      </c>
      <c r="M24" s="7" t="n">
        <v>7.9</v>
      </c>
      <c r="N24" s="8" t="inlineStr">
        <is>
          <t>https://myanimelist.net/manga/11</t>
        </is>
      </c>
    </row>
    <row r="25" ht="20" customHeight="1">
      <c r="A25" s="9" t="n">
        <v>31499</v>
      </c>
      <c r="B25" s="10" t="inlineStr">
        <is>
          <t>Nisekoi</t>
        </is>
      </c>
      <c r="C25" s="11" t="inlineStr">
        <is>
          <t>Manga</t>
        </is>
      </c>
      <c r="D25" s="12" t="n">
        <v>229</v>
      </c>
      <c r="E25" s="12" t="n">
        <v>25</v>
      </c>
      <c r="F25" s="12" t="n">
        <v>229</v>
      </c>
      <c r="G25" s="12" t="n">
        <v>25</v>
      </c>
      <c r="H25" s="13">
        <f>IF(D25&gt;0, F25/D25, IF(J25="Completed", 1, 0))</f>
        <v/>
      </c>
      <c r="I25" s="9" t="n">
        <v>8</v>
      </c>
      <c r="J25" s="11" t="inlineStr">
        <is>
          <t>Completed</t>
        </is>
      </c>
      <c r="K25" s="10" t="inlineStr">
        <is>
          <t>Comedy, Romance, Slice of Life</t>
        </is>
      </c>
      <c r="L25" s="10" t="inlineStr">
        <is>
          <t>Naoshi Komi</t>
        </is>
      </c>
      <c r="M25" s="14" t="n">
        <v>7.5</v>
      </c>
      <c r="N25" s="15" t="inlineStr">
        <is>
          <t>https://myanimelist.net/manga/31499</t>
        </is>
      </c>
    </row>
    <row r="26" ht="20" customHeight="1">
      <c r="A26" s="2" t="n">
        <v>8967</v>
      </c>
      <c r="B26" s="3" t="inlineStr">
        <is>
          <t>Onanie Master Kurosawa</t>
        </is>
      </c>
      <c r="C26" s="4" t="inlineStr">
        <is>
          <t>Manga</t>
        </is>
      </c>
      <c r="D26" s="5" t="n">
        <v>31</v>
      </c>
      <c r="E26" s="5" t="n">
        <v>4</v>
      </c>
      <c r="F26" s="5" t="n">
        <v>31</v>
      </c>
      <c r="G26" s="5" t="n">
        <v>4</v>
      </c>
      <c r="H26" s="6">
        <f>IF(D26&gt;0, F26/D26, IF(J26="Completed", 1, 0))</f>
        <v/>
      </c>
      <c r="I26" s="2" t="n">
        <v>9</v>
      </c>
      <c r="J26" s="4" t="inlineStr">
        <is>
          <t>Completed</t>
        </is>
      </c>
      <c r="K26" s="3" t="inlineStr">
        <is>
          <t>Drama, Psychological, Romance</t>
        </is>
      </c>
      <c r="L26" s="3" t="inlineStr">
        <is>
          <t>Takuma Yokota, Katsura Ise</t>
        </is>
      </c>
      <c r="M26" s="7" t="n">
        <v>8.199999999999999</v>
      </c>
      <c r="N26" s="8" t="inlineStr">
        <is>
          <t>https://myanimelist.net/manga/8967</t>
        </is>
      </c>
    </row>
    <row r="27" ht="20" customHeight="1">
      <c r="A27" s="9" t="n">
        <v>4632</v>
      </c>
      <c r="B27" s="10" t="inlineStr">
        <is>
          <t>Oyasumi Punpun</t>
        </is>
      </c>
      <c r="C27" s="11" t="inlineStr">
        <is>
          <t>Manga</t>
        </is>
      </c>
      <c r="D27" s="12" t="n">
        <v>147</v>
      </c>
      <c r="E27" s="12" t="n">
        <v>13</v>
      </c>
      <c r="F27" s="12" t="n">
        <v>147</v>
      </c>
      <c r="G27" s="12" t="n">
        <v>13</v>
      </c>
      <c r="H27" s="13">
        <f>IF(D27&gt;0, F27/D27, IF(J27="Completed", 1, 0))</f>
        <v/>
      </c>
      <c r="I27" s="9" t="n">
        <v>10</v>
      </c>
      <c r="J27" s="11" t="inlineStr">
        <is>
          <t>Completed</t>
        </is>
      </c>
      <c r="K27" s="10" t="inlineStr">
        <is>
          <t>Drama, Psychological, Slice of Life</t>
        </is>
      </c>
      <c r="L27" s="10" t="inlineStr">
        <is>
          <t>Inio Asano, Annaliese Christman</t>
        </is>
      </c>
      <c r="M27" s="14" t="n">
        <v>8.800000000000001</v>
      </c>
      <c r="N27" s="15" t="inlineStr">
        <is>
          <t>https://myanimelist.net/manga/4632</t>
        </is>
      </c>
    </row>
    <row r="28" ht="20" customHeight="1">
      <c r="A28" s="2" t="n">
        <v>124036</v>
      </c>
      <c r="B28" s="3" t="inlineStr">
        <is>
          <t>Sakurai-san wa Kizuite Hoshii</t>
        </is>
      </c>
      <c r="C28" s="4" t="inlineStr">
        <is>
          <t>Manga</t>
        </is>
      </c>
      <c r="D28" s="5" t="n">
        <v>26</v>
      </c>
      <c r="E28" s="5" t="n">
        <v>4</v>
      </c>
      <c r="F28" s="5" t="n">
        <v>26</v>
      </c>
      <c r="G28" s="5" t="n">
        <v>4</v>
      </c>
      <c r="H28" s="6">
        <f>IF(D28&gt;0, F28/D28, IF(J28="Completed", 1, 0))</f>
        <v/>
      </c>
      <c r="I28" s="2" t="n">
        <v>9</v>
      </c>
      <c r="J28" s="4" t="inlineStr">
        <is>
          <t>Completed</t>
        </is>
      </c>
      <c r="K28" s="3" t="inlineStr">
        <is>
          <t>Comedy, Ecchi, Romance, Slice of Life</t>
        </is>
      </c>
      <c r="L28" s="3" t="inlineStr">
        <is>
          <t>Sora Akino</t>
        </is>
      </c>
      <c r="M28" s="7" t="n">
        <v>7.2</v>
      </c>
      <c r="N28" s="8" t="inlineStr">
        <is>
          <t>https://myanimelist.net/manga/124036</t>
        </is>
      </c>
    </row>
    <row r="29" ht="20" customHeight="1">
      <c r="A29" s="9" t="n">
        <v>145863</v>
      </c>
      <c r="B29" s="10" t="inlineStr">
        <is>
          <t>Sayonara Eri</t>
        </is>
      </c>
      <c r="C29" s="11" t="inlineStr">
        <is>
          <t>Manga</t>
        </is>
      </c>
      <c r="D29" s="12" t="n">
        <v>0</v>
      </c>
      <c r="E29" s="12" t="n">
        <v>1</v>
      </c>
      <c r="F29" s="12" t="n">
        <v>1</v>
      </c>
      <c r="G29" s="12" t="n">
        <v>1</v>
      </c>
      <c r="H29" s="13">
        <f>IF(D29&gt;0, F29/D29, IF(J29="Completed", 1, 0))</f>
        <v/>
      </c>
      <c r="I29" s="9" t="n">
        <v>7</v>
      </c>
      <c r="J29" s="11" t="inlineStr">
        <is>
          <t>Completed</t>
        </is>
      </c>
      <c r="K29" s="10" t="inlineStr">
        <is>
          <t>Drama, Psychological</t>
        </is>
      </c>
      <c r="L29" s="10" t="inlineStr">
        <is>
          <t>Tatsuki Fujimoto</t>
        </is>
      </c>
      <c r="M29" s="14" t="n">
        <v>8.5</v>
      </c>
      <c r="N29" s="15" t="inlineStr">
        <is>
          <t>https://myanimelist.net/manga/145863</t>
        </is>
      </c>
    </row>
    <row r="30" ht="20" customHeight="1">
      <c r="A30" s="2" t="n">
        <v>23390</v>
      </c>
      <c r="B30" s="3" t="inlineStr">
        <is>
          <t>Shingeki no Kyojin</t>
        </is>
      </c>
      <c r="C30" s="4" t="inlineStr">
        <is>
          <t>Manga</t>
        </is>
      </c>
      <c r="D30" s="5" t="n">
        <v>141</v>
      </c>
      <c r="E30" s="5" t="n">
        <v>34</v>
      </c>
      <c r="F30" s="5" t="n">
        <v>141</v>
      </c>
      <c r="G30" s="5" t="n">
        <v>0</v>
      </c>
      <c r="H30" s="6">
        <f>IF(D30&gt;0, F30/D30, IF(J30="Completed", 1, 0))</f>
        <v/>
      </c>
      <c r="I30" s="2" t="n">
        <v>9</v>
      </c>
      <c r="J30" s="4" t="inlineStr">
        <is>
          <t>Completed</t>
        </is>
      </c>
      <c r="K30" s="3" t="inlineStr">
        <is>
          <t>Action, Drama, Fantasy, Mystery</t>
        </is>
      </c>
      <c r="L30" s="3" t="inlineStr">
        <is>
          <t>Hajime Isayama</t>
        </is>
      </c>
      <c r="M30" s="7" t="n">
        <v>8.4</v>
      </c>
      <c r="N30" s="8" t="inlineStr">
        <is>
          <t>https://myanimelist.net/manga/23390</t>
        </is>
      </c>
    </row>
    <row r="31" ht="20" customHeight="1">
      <c r="A31" s="9" t="n">
        <v>72467</v>
      </c>
      <c r="B31" s="10" t="inlineStr">
        <is>
          <t>Shoujo Shuumatsu Ryokou</t>
        </is>
      </c>
      <c r="C31" s="11" t="inlineStr">
        <is>
          <t>Manga</t>
        </is>
      </c>
      <c r="D31" s="12" t="n">
        <v>47</v>
      </c>
      <c r="E31" s="12" t="n">
        <v>6</v>
      </c>
      <c r="F31" s="12" t="n">
        <v>47</v>
      </c>
      <c r="G31" s="12" t="n">
        <v>6</v>
      </c>
      <c r="H31" s="13">
        <f>IF(D31&gt;0, F31/D31, IF(J31="Completed", 1, 0))</f>
        <v/>
      </c>
      <c r="I31" s="9" t="n">
        <v>7</v>
      </c>
      <c r="J31" s="11" t="inlineStr">
        <is>
          <t>Completed</t>
        </is>
      </c>
      <c r="K31" s="10" t="inlineStr">
        <is>
          <t>Adventure, Sci-Fi, Slice of Life</t>
        </is>
      </c>
      <c r="L31" s="10" t="inlineStr">
        <is>
          <t>Tsukumizu</t>
        </is>
      </c>
      <c r="M31" s="14" t="n">
        <v>8.6</v>
      </c>
      <c r="N31" s="15" t="inlineStr">
        <is>
          <t>https://myanimelist.net/manga/72467</t>
        </is>
      </c>
    </row>
    <row r="32" ht="20" customHeight="1">
      <c r="A32" s="2" t="n">
        <v>126699</v>
      </c>
      <c r="B32" s="3" t="inlineStr">
        <is>
          <t>Shounen no Abyss</t>
        </is>
      </c>
      <c r="C32" s="4" t="inlineStr">
        <is>
          <t>Manga</t>
        </is>
      </c>
      <c r="D32" s="5" t="n">
        <v>185</v>
      </c>
      <c r="E32" s="5" t="n">
        <v>18</v>
      </c>
      <c r="F32" s="5" t="n">
        <v>0</v>
      </c>
      <c r="G32" s="5" t="n">
        <v>0</v>
      </c>
      <c r="H32" s="6">
        <f>IF(D32&gt;0, F32/D32, IF(J32="Completed", 1, 0))</f>
        <v/>
      </c>
      <c r="I32" s="2" t="n">
        <v>0</v>
      </c>
      <c r="J32" s="4" t="inlineStr">
        <is>
          <t>Reading</t>
        </is>
      </c>
      <c r="K32" s="3" t="inlineStr">
        <is>
          <t>Drama, Psychological, Romance</t>
        </is>
      </c>
      <c r="L32" s="3" t="inlineStr">
        <is>
          <t>Ryou Minenami</t>
        </is>
      </c>
      <c r="M32" s="7" t="n">
        <v>6.8</v>
      </c>
      <c r="N32" s="8" t="inlineStr">
        <is>
          <t>https://myanimelist.net/manga/126699</t>
        </is>
      </c>
    </row>
    <row r="33" ht="20" customHeight="1">
      <c r="A33" s="9" t="n">
        <v>118289</v>
      </c>
      <c r="B33" s="10" t="inlineStr">
        <is>
          <t>Skip to Loafer</t>
        </is>
      </c>
      <c r="C33" s="11" t="inlineStr">
        <is>
          <t>Manga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3">
        <f>IF(D33&gt;0, F33/D33, IF(J33="Completed", 1, 0))</f>
        <v/>
      </c>
      <c r="I33" s="9" t="n">
        <v>0</v>
      </c>
      <c r="J33" s="11" t="inlineStr">
        <is>
          <t>Reading</t>
        </is>
      </c>
      <c r="K33" s="10" t="inlineStr">
        <is>
          <t>Comedy, Romance, Slice of Life</t>
        </is>
      </c>
      <c r="L33" s="10" t="inlineStr">
        <is>
          <t>Misaki Takamatsu</t>
        </is>
      </c>
      <c r="M33" s="14" t="n">
        <v>8.6</v>
      </c>
      <c r="N33" s="15" t="inlineStr">
        <is>
          <t>https://myanimelist.net/manga/118289</t>
        </is>
      </c>
    </row>
    <row r="34" ht="20" customHeight="1">
      <c r="A34" s="2" t="n">
        <v>3731</v>
      </c>
      <c r="B34" s="3" t="inlineStr">
        <is>
          <t>Solanin</t>
        </is>
      </c>
      <c r="C34" s="4" t="inlineStr">
        <is>
          <t>Manga</t>
        </is>
      </c>
      <c r="D34" s="5" t="n">
        <v>28</v>
      </c>
      <c r="E34" s="5" t="n">
        <v>2</v>
      </c>
      <c r="F34" s="5" t="n">
        <v>28</v>
      </c>
      <c r="G34" s="5" t="n">
        <v>2</v>
      </c>
      <c r="H34" s="6">
        <f>IF(D34&gt;0, F34/D34, IF(J34="Completed", 1, 0))</f>
        <v/>
      </c>
      <c r="I34" s="2" t="n">
        <v>9</v>
      </c>
      <c r="J34" s="4" t="inlineStr">
        <is>
          <t>Completed</t>
        </is>
      </c>
      <c r="K34" s="3" t="inlineStr">
        <is>
          <t>Drama, Music, Slice of Life</t>
        </is>
      </c>
      <c r="L34" s="3" t="inlineStr">
        <is>
          <t>Inio Asano, Hernán Dillie</t>
        </is>
      </c>
      <c r="M34" s="7" t="n">
        <v>8.1</v>
      </c>
      <c r="N34" s="8" t="inlineStr">
        <is>
          <t>https://myanimelist.net/manga/3731</t>
        </is>
      </c>
    </row>
    <row r="35" ht="20" customHeight="1">
      <c r="A35" s="9" t="n">
        <v>121496</v>
      </c>
      <c r="B35" s="10" t="inlineStr">
        <is>
          <t>Solo Leveling</t>
        </is>
      </c>
      <c r="C35" s="11" t="inlineStr">
        <is>
          <t>Manga</t>
        </is>
      </c>
      <c r="D35" s="12" t="n">
        <v>201</v>
      </c>
      <c r="E35" s="12" t="n">
        <v>15</v>
      </c>
      <c r="F35" s="12" t="n">
        <v>0</v>
      </c>
      <c r="G35" s="12" t="n">
        <v>1</v>
      </c>
      <c r="H35" s="13">
        <f>IF(D35&gt;0, F35/D35, IF(J35="Completed", 1, 0))</f>
        <v/>
      </c>
      <c r="I35" s="9" t="n">
        <v>9</v>
      </c>
      <c r="J35" s="11" t="inlineStr">
        <is>
          <t>Completed</t>
        </is>
      </c>
      <c r="K35" s="10" t="inlineStr">
        <is>
          <t>Action, Adventure, Fantasy</t>
        </is>
      </c>
      <c r="L35" s="10" t="inlineStr">
        <is>
          <t>Seong-Rak Jang, So-Ryeong Gi, Chu-Gong, Hyeon-Gun</t>
        </is>
      </c>
      <c r="M35" s="14" t="n">
        <v>8.4</v>
      </c>
      <c r="N35" s="15" t="inlineStr">
        <is>
          <t>https://myanimelist.net/manga/121496</t>
        </is>
      </c>
    </row>
    <row r="36" ht="20" customHeight="1">
      <c r="A36" s="2" t="n">
        <v>112268</v>
      </c>
      <c r="B36" s="3" t="inlineStr">
        <is>
          <t>Sono Bisque Doll wa Koi wo Suru</t>
        </is>
      </c>
      <c r="C36" s="4" t="inlineStr">
        <is>
          <t>Manga</t>
        </is>
      </c>
      <c r="D36" s="5" t="n">
        <v>119</v>
      </c>
      <c r="E36" s="5" t="n">
        <v>15</v>
      </c>
      <c r="F36" s="5" t="n">
        <v>0</v>
      </c>
      <c r="G36" s="5" t="n">
        <v>0</v>
      </c>
      <c r="H36" s="6">
        <f>IF(D36&gt;0, F36/D36, IF(J36="Completed", 1, 0))</f>
        <v/>
      </c>
      <c r="I36" s="2" t="n">
        <v>0</v>
      </c>
      <c r="J36" s="4" t="inlineStr">
        <is>
          <t>Plan to Read</t>
        </is>
      </c>
      <c r="K36" s="3" t="inlineStr">
        <is>
          <t>Comedy, Ecchi, Romance, Slice of Life</t>
        </is>
      </c>
      <c r="L36" s="3" t="inlineStr">
        <is>
          <t>Shinichi Fukuda</t>
        </is>
      </c>
      <c r="M36" s="7" t="n">
        <v>7.9</v>
      </c>
      <c r="N36" s="8" t="inlineStr">
        <is>
          <t>https://myanimelist.net/manga/112268</t>
        </is>
      </c>
    </row>
    <row r="37" ht="20" customHeight="1">
      <c r="A37" s="9" t="n">
        <v>126287</v>
      </c>
      <c r="B37" s="10" t="inlineStr">
        <is>
          <t>Sousou no Frieren</t>
        </is>
      </c>
      <c r="C37" s="11" t="inlineStr">
        <is>
          <t>Manga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3">
        <f>IF(D37&gt;0, F37/D37, IF(J37="Completed", 1, 0))</f>
        <v/>
      </c>
      <c r="I37" s="9" t="n">
        <v>0</v>
      </c>
      <c r="J37" s="11" t="inlineStr">
        <is>
          <t>Reading</t>
        </is>
      </c>
      <c r="K37" s="10" t="inlineStr">
        <is>
          <t>Adventure, Drama, Fantasy</t>
        </is>
      </c>
      <c r="L37" s="10" t="inlineStr">
        <is>
          <t>Kanehito Yamada, Tsukasa Abe</t>
        </is>
      </c>
      <c r="M37" s="14" t="n">
        <v>8.699999999999999</v>
      </c>
      <c r="N37" s="15" t="inlineStr">
        <is>
          <t>https://myanimelist.net/manga/126287</t>
        </is>
      </c>
    </row>
    <row r="38" ht="20" customHeight="1">
      <c r="A38" s="2" t="n">
        <v>119161</v>
      </c>
      <c r="B38" s="3" t="inlineStr">
        <is>
          <t>Spy x Family</t>
        </is>
      </c>
      <c r="C38" s="4" t="inlineStr">
        <is>
          <t>Manga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6">
        <f>IF(D38&gt;0, F38/D38, IF(J38="Completed", 1, 0))</f>
        <v/>
      </c>
      <c r="I38" s="2" t="n">
        <v>8</v>
      </c>
      <c r="J38" s="4" t="inlineStr">
        <is>
          <t>Reading</t>
        </is>
      </c>
      <c r="K38" s="3" t="inlineStr">
        <is>
          <t>Action, Comedy, Slice of Life, Supernatural</t>
        </is>
      </c>
      <c r="L38" s="3" t="inlineStr">
        <is>
          <t>Tatsuya Endou, Rina Mapa</t>
        </is>
      </c>
      <c r="M38" s="7" t="n">
        <v>8.300000000000001</v>
      </c>
      <c r="N38" s="8" t="inlineStr">
        <is>
          <t>https://myanimelist.net/manga/119161</t>
        </is>
      </c>
    </row>
    <row r="39" ht="20" customHeight="1">
      <c r="A39" s="9" t="n">
        <v>67615</v>
      </c>
      <c r="B39" s="10" t="inlineStr">
        <is>
          <t>Tate no Yuusha no Nariagari</t>
        </is>
      </c>
      <c r="C39" s="11" t="inlineStr">
        <is>
          <t>Manga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3">
        <f>IF(D39&gt;0, F39/D39, IF(J39="Completed", 1, 0))</f>
        <v/>
      </c>
      <c r="I39" s="9" t="n">
        <v>0</v>
      </c>
      <c r="J39" s="11" t="inlineStr">
        <is>
          <t>Reading</t>
        </is>
      </c>
      <c r="K39" s="10" t="inlineStr">
        <is>
          <t>Action, Adventure, Fantasy</t>
        </is>
      </c>
      <c r="L39" s="10" t="inlineStr">
        <is>
          <t>Kyu Aiya, Aneko Yusagi</t>
        </is>
      </c>
      <c r="M39" s="14" t="n">
        <v>7.2</v>
      </c>
      <c r="N39" s="15" t="inlineStr">
        <is>
          <t>https://myanimelist.net/manga/67615</t>
        </is>
      </c>
    </row>
    <row r="40" ht="20" customHeight="1">
      <c r="A40" s="2" t="n">
        <v>125036</v>
      </c>
      <c r="B40" s="3" t="inlineStr">
        <is>
          <t>The Horizon</t>
        </is>
      </c>
      <c r="C40" s="4" t="inlineStr">
        <is>
          <t>Manga</t>
        </is>
      </c>
      <c r="D40" s="5" t="n">
        <v>21</v>
      </c>
      <c r="E40" s="5" t="n">
        <v>3</v>
      </c>
      <c r="F40" s="5" t="n">
        <v>21</v>
      </c>
      <c r="G40" s="5" t="n">
        <v>3</v>
      </c>
      <c r="H40" s="6">
        <f>IF(D40&gt;0, F40/D40, IF(J40="Completed", 1, 0))</f>
        <v/>
      </c>
      <c r="I40" s="2" t="n">
        <v>8</v>
      </c>
      <c r="J40" s="4" t="inlineStr">
        <is>
          <t>Completed</t>
        </is>
      </c>
      <c r="K40" s="3" t="inlineStr">
        <is>
          <t>Adventure, Drama, Psychological</t>
        </is>
      </c>
      <c r="L40" s="3" t="inlineStr">
        <is>
          <t>Ji-Hun Jeong</t>
        </is>
      </c>
      <c r="M40" s="7" t="n">
        <v>8.5</v>
      </c>
      <c r="N40" s="8" t="inlineStr">
        <is>
          <t>https://myanimelist.net/manga/125036</t>
        </is>
      </c>
    </row>
    <row r="41" ht="20" customHeight="1">
      <c r="A41" s="9" t="n">
        <v>62795</v>
      </c>
      <c r="B41" s="10" t="inlineStr">
        <is>
          <t>Tomodachi Game</t>
        </is>
      </c>
      <c r="C41" s="11" t="inlineStr">
        <is>
          <t>Manga</t>
        </is>
      </c>
      <c r="D41" s="12" t="n">
        <v>130</v>
      </c>
      <c r="E41" s="12" t="n">
        <v>26</v>
      </c>
      <c r="F41" s="12" t="n">
        <v>0</v>
      </c>
      <c r="G41" s="12" t="n">
        <v>0</v>
      </c>
      <c r="H41" s="13">
        <f>IF(D41&gt;0, F41/D41, IF(J41="Completed", 1, 0))</f>
        <v/>
      </c>
      <c r="I41" s="9" t="n">
        <v>0</v>
      </c>
      <c r="J41" s="11" t="inlineStr">
        <is>
          <t>Reading</t>
        </is>
      </c>
      <c r="K41" s="10" t="inlineStr">
        <is>
          <t>Drama, Mystery, Psychological</t>
        </is>
      </c>
      <c r="L41" s="10" t="inlineStr">
        <is>
          <t>Mikoto Yamaguchi, Yuuki Satou</t>
        </is>
      </c>
      <c r="M41" s="14" t="n">
        <v>8.1</v>
      </c>
      <c r="N41" s="15" t="inlineStr">
        <is>
          <t>https://myanimelist.net/manga/62795</t>
        </is>
      </c>
    </row>
    <row r="42" ht="20" customHeight="1">
      <c r="A42" s="2" t="n">
        <v>112589</v>
      </c>
      <c r="B42" s="3" t="inlineStr">
        <is>
          <t>Tonikaku Kawaii</t>
        </is>
      </c>
      <c r="C42" s="4" t="inlineStr">
        <is>
          <t>Manga</t>
        </is>
      </c>
      <c r="D42" s="5" t="n">
        <v>0</v>
      </c>
      <c r="E42" s="5" t="n">
        <v>0</v>
      </c>
      <c r="F42" s="5" t="n">
        <v>0</v>
      </c>
      <c r="G42" s="5" t="n">
        <v>0</v>
      </c>
      <c r="H42" s="6">
        <f>IF(D42&gt;0, F42/D42, IF(J42="Completed", 1, 0))</f>
        <v/>
      </c>
      <c r="I42" s="2" t="n">
        <v>0</v>
      </c>
      <c r="J42" s="4" t="inlineStr">
        <is>
          <t>Reading</t>
        </is>
      </c>
      <c r="K42" s="3" t="inlineStr">
        <is>
          <t>Comedy, Romance, Slice of Life</t>
        </is>
      </c>
      <c r="L42" s="3" t="inlineStr">
        <is>
          <t>Kenjirou Hata</t>
        </is>
      </c>
      <c r="M42" s="7" t="n">
        <v>8</v>
      </c>
      <c r="N42" s="8" t="inlineStr">
        <is>
          <t>https://myanimelist.net/manga/112589</t>
        </is>
      </c>
    </row>
    <row r="43" ht="20" customHeight="1">
      <c r="A43" s="9" t="n">
        <v>17353</v>
      </c>
      <c r="B43" s="10" t="inlineStr">
        <is>
          <t>Umibe no Onnanoko</t>
        </is>
      </c>
      <c r="C43" s="11" t="inlineStr">
        <is>
          <t>Manga</t>
        </is>
      </c>
      <c r="D43" s="12" t="n">
        <v>20</v>
      </c>
      <c r="E43" s="12" t="n">
        <v>2</v>
      </c>
      <c r="F43" s="12" t="n">
        <v>0</v>
      </c>
      <c r="G43" s="12" t="n">
        <v>0</v>
      </c>
      <c r="H43" s="13">
        <f>IF(D43&gt;0, F43/D43, IF(J43="Completed", 1, 0))</f>
        <v/>
      </c>
      <c r="I43" s="9" t="n">
        <v>0</v>
      </c>
      <c r="J43" s="11" t="inlineStr">
        <is>
          <t>Reading</t>
        </is>
      </c>
      <c r="K43" s="10" t="inlineStr">
        <is>
          <t>Drama, Psychological, Romance, Slice of Life</t>
        </is>
      </c>
      <c r="L43" s="10" t="inlineStr">
        <is>
          <t>Inio Asano</t>
        </is>
      </c>
      <c r="M43" s="14" t="n">
        <v>6.9</v>
      </c>
      <c r="N43" s="15" t="inlineStr">
        <is>
          <t>https://myanimelist.net/manga/17353</t>
        </is>
      </c>
    </row>
    <row r="44" ht="20" customHeight="1">
      <c r="A44" s="2" t="n">
        <v>436</v>
      </c>
      <c r="B44" s="3" t="inlineStr">
        <is>
          <t>Uzumaki</t>
        </is>
      </c>
      <c r="C44" s="4" t="inlineStr">
        <is>
          <t>Manga</t>
        </is>
      </c>
      <c r="D44" s="5" t="n">
        <v>19</v>
      </c>
      <c r="E44" s="5" t="n">
        <v>3</v>
      </c>
      <c r="F44" s="5" t="n">
        <v>0</v>
      </c>
      <c r="G44" s="5" t="n">
        <v>0</v>
      </c>
      <c r="H44" s="6">
        <f>IF(D44&gt;0, F44/D44, IF(J44="Completed", 1, 0))</f>
        <v/>
      </c>
      <c r="I44" s="2" t="n">
        <v>0</v>
      </c>
      <c r="J44" s="4" t="inlineStr">
        <is>
          <t>Reading</t>
        </is>
      </c>
      <c r="K44" s="3" t="inlineStr">
        <is>
          <t>Drama, Horror, Mystery, Psychological, Romance, Supernatural</t>
        </is>
      </c>
      <c r="L44" s="3" t="inlineStr">
        <is>
          <t>Junji Itou, Susan Daigle-Leach</t>
        </is>
      </c>
      <c r="M44" s="7" t="n">
        <v>7.9</v>
      </c>
      <c r="N44" s="8" t="inlineStr">
        <is>
          <t>https://myanimelist.net/manga/436</t>
        </is>
      </c>
    </row>
    <row r="45" ht="20" customHeight="1">
      <c r="A45" s="9" t="n">
        <v>642</v>
      </c>
      <c r="B45" s="10" t="inlineStr">
        <is>
          <t>Vinland Saga</t>
        </is>
      </c>
      <c r="C45" s="11" t="inlineStr">
        <is>
          <t>Manga</t>
        </is>
      </c>
      <c r="D45" s="12" t="n">
        <v>224</v>
      </c>
      <c r="E45" s="12" t="n">
        <v>29</v>
      </c>
      <c r="F45" s="12" t="n">
        <v>224</v>
      </c>
      <c r="G45" s="12" t="n">
        <v>29</v>
      </c>
      <c r="H45" s="13">
        <f>IF(D45&gt;0, F45/D45, IF(J45="Completed", 1, 0))</f>
        <v/>
      </c>
      <c r="I45" s="9" t="n">
        <v>9</v>
      </c>
      <c r="J45" s="11" t="inlineStr">
        <is>
          <t>Completed</t>
        </is>
      </c>
      <c r="K45" s="10" t="inlineStr">
        <is>
          <t>Action, Adventure, Drama</t>
        </is>
      </c>
      <c r="L45" s="10" t="inlineStr">
        <is>
          <t>Makoto Yukimura</t>
        </is>
      </c>
      <c r="M45" s="14" t="n">
        <v>9</v>
      </c>
      <c r="N45" s="15" t="inlineStr">
        <is>
          <t>https://myanimelist.net/manga/642</t>
        </is>
      </c>
    </row>
    <row r="46" ht="20" customHeight="1">
      <c r="A46" s="2" t="n">
        <v>121480</v>
      </c>
      <c r="B46" s="3" t="inlineStr">
        <is>
          <t>Yofukashi no Uta</t>
        </is>
      </c>
      <c r="C46" s="4" t="inlineStr">
        <is>
          <t>Manga</t>
        </is>
      </c>
      <c r="D46" s="5" t="n">
        <v>203</v>
      </c>
      <c r="E46" s="5" t="n">
        <v>20</v>
      </c>
      <c r="F46" s="5" t="n">
        <v>0</v>
      </c>
      <c r="G46" s="5" t="n">
        <v>0</v>
      </c>
      <c r="H46" s="6">
        <f>IF(D46&gt;0, F46/D46, IF(J46="Completed", 1, 0))</f>
        <v/>
      </c>
      <c r="I46" s="2" t="n">
        <v>0</v>
      </c>
      <c r="J46" s="4" t="inlineStr">
        <is>
          <t>Reading</t>
        </is>
      </c>
      <c r="K46" s="3" t="inlineStr">
        <is>
          <t>Comedy, Psychological, Romance, Slice of Life, Supernatural</t>
        </is>
      </c>
      <c r="L46" s="3" t="inlineStr">
        <is>
          <t>Kotoyama, Annaliese Christman</t>
        </is>
      </c>
      <c r="M46" s="7" t="n">
        <v>8.1</v>
      </c>
      <c r="N46" s="8" t="inlineStr">
        <is>
          <t>https://myanimelist.net/manga/121480</t>
        </is>
      </c>
    </row>
    <row r="47" ht="20" customHeight="1">
      <c r="A47" s="9" t="n">
        <v>104</v>
      </c>
      <c r="B47" s="10" t="inlineStr">
        <is>
          <t>Yotsuba to!</t>
        </is>
      </c>
      <c r="C47" s="11" t="inlineStr">
        <is>
          <t>Manga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3">
        <f>IF(D47&gt;0, F47/D47, IF(J47="Completed", 1, 0))</f>
        <v/>
      </c>
      <c r="I47" s="9" t="n">
        <v>0</v>
      </c>
      <c r="J47" s="11" t="inlineStr">
        <is>
          <t>Reading</t>
        </is>
      </c>
      <c r="K47" s="10" t="inlineStr">
        <is>
          <t>Comedy, Slice of Life</t>
        </is>
      </c>
      <c r="L47" s="10" t="inlineStr">
        <is>
          <t>Kiyohiko Azuma</t>
        </is>
      </c>
      <c r="M47" s="14" t="n">
        <v>8.800000000000001</v>
      </c>
      <c r="N47" s="15" t="inlineStr">
        <is>
          <t>https://myanimelist.net/manga/104</t>
        </is>
      </c>
    </row>
    <row r="48" ht="20" customHeight="1">
      <c r="A48" s="2" t="n">
        <v>126146</v>
      </c>
      <c r="B48" s="3" t="inlineStr">
        <is>
          <t>[Oshi no Ko]</t>
        </is>
      </c>
      <c r="C48" s="4" t="inlineStr">
        <is>
          <t>Manga</t>
        </is>
      </c>
      <c r="D48" s="5" t="n">
        <v>171</v>
      </c>
      <c r="E48" s="5" t="n">
        <v>16</v>
      </c>
      <c r="F48" s="5" t="n">
        <v>0</v>
      </c>
      <c r="G48" s="5" t="n">
        <v>0</v>
      </c>
      <c r="H48" s="6">
        <f>IF(D48&gt;0, F48/D48, IF(J48="Completed", 1, 0))</f>
        <v/>
      </c>
      <c r="I48" s="2" t="n">
        <v>0</v>
      </c>
      <c r="J48" s="4" t="inlineStr">
        <is>
          <t>Reading</t>
        </is>
      </c>
      <c r="K48" s="3" t="inlineStr">
        <is>
          <t>Drama, Mystery, Psychological, Supernatural</t>
        </is>
      </c>
      <c r="L48" s="3" t="inlineStr">
        <is>
          <t>Aka Akasaka, Mengo Yokoyari</t>
        </is>
      </c>
      <c r="M48" s="7" t="n">
        <v>7.8</v>
      </c>
      <c r="N48" s="8" t="inlineStr">
        <is>
          <t>https://myanimelist.net/manga/126146</t>
        </is>
      </c>
    </row>
  </sheetData>
  <autoFilter ref="A1:N48"/>
  <conditionalFormatting sqref="I2:I48">
    <cfRule type="colorScale" priority="1">
      <colorScale>
        <cfvo type="num" val="1"/>
        <cfvo type="num" val="6"/>
        <cfvo type="num" val="10"/>
        <color rgb="00FCA5A5"/>
        <color rgb="00FDE047"/>
        <color rgb="0086EFAC"/>
      </colorScale>
    </cfRule>
  </conditionalFormatting>
  <conditionalFormatting sqref="J2:J48">
    <cfRule type="cellIs" priority="2" operator="equal" dxfId="0">
      <formula>"Completed"</formula>
    </cfRule>
    <cfRule type="cellIs" priority="3" operator="equal" dxfId="1">
      <formula>"Watching"</formula>
    </cfRule>
    <cfRule type="cellIs" priority="4" operator="equal" dxfId="1">
      <formula>"Reading"</formula>
    </cfRule>
    <cfRule type="cellIs" priority="5" operator="equal" dxfId="2">
      <formula>"Plan to Watch"</formula>
    </cfRule>
    <cfRule type="cellIs" priority="6" operator="equal" dxfId="2">
      <formula>"Plan to Read"</formula>
    </cfRule>
    <cfRule type="cellIs" priority="7" operator="equal" dxfId="3">
      <formula>"Dropped"</formula>
    </cfRule>
    <cfRule type="cellIs" priority="8" operator="equal" dxfId="4">
      <formula>"On-Hold"</formula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5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22" customWidth="1" min="6" max="6"/>
    <col width="4" customWidth="1" min="7" max="7"/>
    <col width="22" customWidth="1" min="8" max="8"/>
    <col width="16" customWidth="1" min="9" max="9"/>
    <col width="16" customWidth="1" min="10" max="10"/>
    <col width="16" customWidth="1" min="11" max="11"/>
    <col width="22" customWidth="1" min="12" max="12"/>
  </cols>
  <sheetData>
    <row r="1" ht="10" customHeight="1"/>
    <row r="2" ht="36" customHeight="1">
      <c r="B2" s="16" t="inlineStr">
        <is>
          <t>ANIMANGA SHOWCASE — EXECUTIVE ANALYTICS DASHBOARD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8" t="n"/>
    </row>
    <row r="3" ht="20" customHeight="1">
      <c r="B3" s="19" t="inlineStr">
        <is>
          <t>Real-time Metrics &amp; Insights for 219 Anime &amp; 47 Manga • Powered by MyAnimeList Export Data</t>
        </is>
      </c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</row>
    <row r="4" ht="12" customHeight="1"/>
    <row r="5" ht="22" customHeight="1">
      <c r="B5" s="21" t="inlineStr">
        <is>
          <t>EXECUTIVE SUMMARY KPIS</t>
        </is>
      </c>
    </row>
    <row r="6" ht="18" customHeight="1">
      <c r="B6" s="22" t="inlineStr">
        <is>
          <t>TOTAL TITLES</t>
        </is>
      </c>
      <c r="C6" s="23" t="n"/>
      <c r="D6" s="24" t="n"/>
      <c r="E6" s="22" t="inlineStr">
        <is>
          <t>TOTAL ANIME</t>
        </is>
      </c>
      <c r="F6" s="23" t="n"/>
      <c r="G6" s="24" t="n"/>
      <c r="H6" s="22" t="inlineStr">
        <is>
          <t>TOTAL MANGA</t>
        </is>
      </c>
      <c r="I6" s="23" t="n"/>
      <c r="J6" s="24" t="n"/>
    </row>
    <row r="7" ht="20" customHeight="1">
      <c r="B7" s="25">
        <f>COUNTA('Anime List'!B2:B220) + COUNTA('Manga List'!B2:B48)</f>
        <v/>
      </c>
      <c r="C7" s="26" t="n"/>
      <c r="D7" s="27" t="n"/>
      <c r="E7" s="28">
        <f>COUNTA('Anime List'!B2:B220)</f>
        <v/>
      </c>
      <c r="F7" s="26" t="n"/>
      <c r="G7" s="27" t="n"/>
      <c r="H7" s="29">
        <f>COUNTA('Manga List'!B2:B48)</f>
        <v/>
      </c>
      <c r="I7" s="26" t="n"/>
      <c r="J7" s="27" t="n"/>
    </row>
    <row r="8" ht="20" customHeight="1">
      <c r="B8" s="30" t="n"/>
      <c r="C8" s="31" t="n"/>
      <c r="D8" s="32" t="n"/>
      <c r="E8" s="30" t="n"/>
      <c r="F8" s="31" t="n"/>
      <c r="G8" s="32" t="n"/>
      <c r="H8" s="30" t="n"/>
      <c r="I8" s="31" t="n"/>
      <c r="J8" s="32" t="n"/>
    </row>
    <row r="9" ht="8" customHeight="1"/>
    <row r="10" ht="18" customHeight="1">
      <c r="B10" s="22" t="inlineStr">
        <is>
          <t>TOTAL EPISODES WATCHED</t>
        </is>
      </c>
      <c r="C10" s="23" t="n"/>
      <c r="D10" s="24" t="n"/>
      <c r="E10" s="22" t="inlineStr">
        <is>
          <t>TOTAL CHAPTERS READ</t>
        </is>
      </c>
      <c r="F10" s="23" t="n"/>
      <c r="G10" s="24" t="n"/>
      <c r="H10" s="22" t="inlineStr">
        <is>
          <t>ANIME MEAN SCORE (RATED)</t>
        </is>
      </c>
      <c r="I10" s="23" t="n"/>
      <c r="J10" s="24" t="n"/>
    </row>
    <row r="11" ht="20" customHeight="1">
      <c r="B11" s="25">
        <f>SUM('Anime List'!E2:E220)</f>
        <v/>
      </c>
      <c r="C11" s="26" t="n"/>
      <c r="D11" s="27" t="n"/>
      <c r="E11" s="25">
        <f>SUM('Manga List'!F2:F48)</f>
        <v/>
      </c>
      <c r="F11" s="26" t="n"/>
      <c r="G11" s="27" t="n"/>
      <c r="H11" s="33">
        <f>AVERAGEIF('Anime List'!G2:G220, "&gt;0")</f>
        <v/>
      </c>
      <c r="I11" s="26" t="n"/>
      <c r="J11" s="27" t="n"/>
    </row>
    <row r="12" ht="20" customHeight="1">
      <c r="B12" s="30" t="n"/>
      <c r="C12" s="31" t="n"/>
      <c r="D12" s="32" t="n"/>
      <c r="E12" s="30" t="n"/>
      <c r="F12" s="31" t="n"/>
      <c r="G12" s="32" t="n"/>
      <c r="H12" s="30" t="n"/>
      <c r="I12" s="31" t="n"/>
      <c r="J12" s="32" t="n"/>
    </row>
    <row r="13" ht="8" customHeight="1"/>
    <row r="14" ht="18" customHeight="1">
      <c r="B14" s="22" t="inlineStr">
        <is>
          <t>MANGA MEAN SCORE (RATED)</t>
        </is>
      </c>
      <c r="C14" s="23" t="n"/>
      <c r="D14" s="24" t="n"/>
      <c r="E14" s="22" t="inlineStr">
        <is>
          <t>ANIME COMPLETION RATE</t>
        </is>
      </c>
      <c r="F14" s="23" t="n"/>
      <c r="G14" s="24" t="n"/>
      <c r="H14" s="22" t="inlineStr">
        <is>
          <t>MANGA COMPLETION RATE</t>
        </is>
      </c>
      <c r="I14" s="23" t="n"/>
      <c r="J14" s="24" t="n"/>
    </row>
    <row r="15" ht="20" customHeight="1">
      <c r="B15" s="33">
        <f>AVERAGEIF('Manga List'!I2:I48, "&gt;0")</f>
        <v/>
      </c>
      <c r="C15" s="26" t="n"/>
      <c r="D15" s="27" t="n"/>
      <c r="E15" s="34">
        <f>COUNTIF('Anime List'!H2:H220, "Completed") / COUNTA('Anime List'!B2:B220)</f>
        <v/>
      </c>
      <c r="F15" s="26" t="n"/>
      <c r="G15" s="27" t="n"/>
      <c r="H15" s="34">
        <f>COUNTIF('Manga List'!J2:J48, "Completed") / COUNTA('Manga List'!B2:B48)</f>
        <v/>
      </c>
      <c r="I15" s="26" t="n"/>
      <c r="J15" s="27" t="n"/>
    </row>
    <row r="16" ht="20" customHeight="1">
      <c r="B16" s="30" t="n"/>
      <c r="C16" s="31" t="n"/>
      <c r="D16" s="32" t="n"/>
      <c r="E16" s="30" t="n"/>
      <c r="F16" s="31" t="n"/>
      <c r="G16" s="32" t="n"/>
      <c r="H16" s="30" t="n"/>
      <c r="I16" s="31" t="n"/>
      <c r="J16" s="32" t="n"/>
    </row>
    <row r="17" ht="14" customHeight="1"/>
    <row r="18" ht="22" customHeight="1">
      <c r="B18" s="21" t="inlineStr">
        <is>
          <t>STATUS BREAKDOWN</t>
        </is>
      </c>
      <c r="H18" s="21" t="inlineStr">
        <is>
          <t>SCORE DISTRIBUTION</t>
        </is>
      </c>
    </row>
    <row r="19" ht="24" customHeight="1">
      <c r="B19" s="35" t="inlineStr">
        <is>
          <t>Status</t>
        </is>
      </c>
      <c r="C19" s="35" t="inlineStr">
        <is>
          <t>Anime</t>
        </is>
      </c>
      <c r="D19" s="35" t="inlineStr">
        <is>
          <t>Manga</t>
        </is>
      </c>
      <c r="E19" s="35" t="inlineStr">
        <is>
          <t>Total</t>
        </is>
      </c>
      <c r="F19" s="35" t="inlineStr">
        <is>
          <t>% Share</t>
        </is>
      </c>
      <c r="H19" s="35" t="inlineStr">
        <is>
          <t>Score Tier</t>
        </is>
      </c>
      <c r="I19" s="35" t="inlineStr">
        <is>
          <t>Anime</t>
        </is>
      </c>
      <c r="J19" s="35" t="inlineStr">
        <is>
          <t>Manga</t>
        </is>
      </c>
      <c r="K19" s="35" t="inlineStr">
        <is>
          <t>Total</t>
        </is>
      </c>
      <c r="L19" s="35" t="inlineStr">
        <is>
          <t>% Share</t>
        </is>
      </c>
    </row>
    <row r="20" ht="20" customHeight="1">
      <c r="B20" s="3" t="inlineStr">
        <is>
          <t>Completed</t>
        </is>
      </c>
      <c r="C20" s="5">
        <f>COUNTIF('Anime List'!H2:H220, "Completed")</f>
        <v/>
      </c>
      <c r="D20" s="5">
        <f>COUNTIF('Manga List'!J2:J48, "Completed")</f>
        <v/>
      </c>
      <c r="E20" s="36">
        <f>C20+D20</f>
        <v/>
      </c>
      <c r="F20" s="6">
        <f>E20/$E$25</f>
        <v/>
      </c>
      <c r="H20" s="3" t="inlineStr">
        <is>
          <t>★ 10 Masterpiece</t>
        </is>
      </c>
      <c r="I20" s="5">
        <f>COUNTIF('Anime List'!G2:G220, 10)</f>
        <v/>
      </c>
      <c r="J20" s="5">
        <f>COUNTIF('Manga List'!I2:I48, 10)</f>
        <v/>
      </c>
      <c r="K20" s="36">
        <f>I20+J20</f>
        <v/>
      </c>
      <c r="L20" s="6">
        <f>K20/$K$26</f>
        <v/>
      </c>
    </row>
    <row r="21" ht="20" customHeight="1">
      <c r="B21" s="10" t="inlineStr">
        <is>
          <t>Watching / Reading</t>
        </is>
      </c>
      <c r="C21" s="12">
        <f>COUNTIF('Anime List'!H2:H220, "Watching")</f>
        <v/>
      </c>
      <c r="D21" s="12">
        <f>COUNTIF('Manga List'!J2:J48, "Reading")</f>
        <v/>
      </c>
      <c r="E21" s="37">
        <f>C21+D21</f>
        <v/>
      </c>
      <c r="F21" s="13">
        <f>E21/$E$25</f>
        <v/>
      </c>
      <c r="H21" s="10" t="inlineStr">
        <is>
          <t>★ 9 Great</t>
        </is>
      </c>
      <c r="I21" s="12">
        <f>COUNTIF('Anime List'!G2:G220, 9)</f>
        <v/>
      </c>
      <c r="J21" s="12">
        <f>COUNTIF('Manga List'!I2:I48, 9)</f>
        <v/>
      </c>
      <c r="K21" s="37">
        <f>I21+J21</f>
        <v/>
      </c>
      <c r="L21" s="13">
        <f>K21/$K$26</f>
        <v/>
      </c>
    </row>
    <row r="22" ht="20" customHeight="1">
      <c r="B22" s="3" t="inlineStr">
        <is>
          <t>Plan to Watch / Read</t>
        </is>
      </c>
      <c r="C22" s="5">
        <f>COUNTIF('Anime List'!H2:H220, "Plan to Watch")</f>
        <v/>
      </c>
      <c r="D22" s="5">
        <f>COUNTIF('Manga List'!J2:J48, "Plan to Read")</f>
        <v/>
      </c>
      <c r="E22" s="36">
        <f>C22+D22</f>
        <v/>
      </c>
      <c r="F22" s="6">
        <f>E22/$E$25</f>
        <v/>
      </c>
      <c r="H22" s="3" t="inlineStr">
        <is>
          <t>★ 7-8 Good</t>
        </is>
      </c>
      <c r="I22" s="5">
        <f>COUNTIF('Anime List'!G2:G220, 7) + COUNTIF('Anime List'!G2:G220, 8)</f>
        <v/>
      </c>
      <c r="J22" s="5">
        <f>COUNTIF('Manga List'!I2:I48, 7) + COUNTIF('Manga List'!I2:I48, 8)</f>
        <v/>
      </c>
      <c r="K22" s="36">
        <f>I22+J22</f>
        <v/>
      </c>
      <c r="L22" s="6">
        <f>K22/$K$26</f>
        <v/>
      </c>
    </row>
    <row r="23" ht="20" customHeight="1">
      <c r="B23" s="10" t="inlineStr">
        <is>
          <t>On-Hold</t>
        </is>
      </c>
      <c r="C23" s="12">
        <f>COUNTIF('Anime List'!H2:H220, "On-Hold")</f>
        <v/>
      </c>
      <c r="D23" s="12">
        <f>COUNTIF('Manga List'!J2:J48, "On-Hold")</f>
        <v/>
      </c>
      <c r="E23" s="37">
        <f>C23+D23</f>
        <v/>
      </c>
      <c r="F23" s="13">
        <f>E23/$E$25</f>
        <v/>
      </c>
      <c r="H23" s="10" t="inlineStr">
        <is>
          <t>★ 5-6 Average</t>
        </is>
      </c>
      <c r="I23" s="12">
        <f>COUNTIF('Anime List'!G2:G220, 5) + COUNTIF('Anime List'!G2:G220, 6)</f>
        <v/>
      </c>
      <c r="J23" s="12">
        <f>COUNTIF('Manga List'!I2:I48, 5) + COUNTIF('Manga List'!I2:I48, 6)</f>
        <v/>
      </c>
      <c r="K23" s="37">
        <f>I23+J23</f>
        <v/>
      </c>
      <c r="L23" s="13">
        <f>K23/$K$26</f>
        <v/>
      </c>
    </row>
    <row r="24" ht="20" customHeight="1">
      <c r="B24" s="3" t="inlineStr">
        <is>
          <t>Dropped</t>
        </is>
      </c>
      <c r="C24" s="5">
        <f>COUNTIF('Anime List'!H2:H220, "Dropped")</f>
        <v/>
      </c>
      <c r="D24" s="5">
        <f>COUNTIF('Manga List'!J2:J48, "Dropped")</f>
        <v/>
      </c>
      <c r="E24" s="36">
        <f>C24+D24</f>
        <v/>
      </c>
      <c r="F24" s="6">
        <f>E24/$E$25</f>
        <v/>
      </c>
      <c r="H24" s="3" t="inlineStr">
        <is>
          <t>★ 1-4 Low</t>
        </is>
      </c>
      <c r="I24" s="5">
        <f>COUNTIF('Anime List'!G2:G220, "&gt;=1") - COUNTIF('Anime List'!G2:G220, "&gt;=5")</f>
        <v/>
      </c>
      <c r="J24" s="5">
        <f>COUNTIF('Manga List'!I2:I48, "&gt;=1") - COUNTIF('Manga List'!I2:I48, "&gt;=5")</f>
        <v/>
      </c>
      <c r="K24" s="36">
        <f>I24+J24</f>
        <v/>
      </c>
      <c r="L24" s="6">
        <f>K24/$K$26</f>
        <v/>
      </c>
    </row>
    <row r="25" ht="22" customHeight="1">
      <c r="B25" s="38" t="inlineStr">
        <is>
          <t>Total</t>
        </is>
      </c>
      <c r="C25" s="39">
        <f>SUM(C20:C24)</f>
        <v/>
      </c>
      <c r="D25" s="39">
        <f>SUM(D20:D24)</f>
        <v/>
      </c>
      <c r="E25" s="39">
        <f>SUM(E20:E24)</f>
        <v/>
      </c>
      <c r="F25" s="40">
        <f>SUM(F20:F24)</f>
        <v/>
      </c>
      <c r="H25" s="10" t="inlineStr">
        <is>
          <t>Unrated (0)</t>
        </is>
      </c>
      <c r="I25" s="12">
        <f>COUNTIF('Anime List'!G2:G220, 0)</f>
        <v/>
      </c>
      <c r="J25" s="12">
        <f>COUNTIF('Manga List'!I2:I48, 0)</f>
        <v/>
      </c>
      <c r="K25" s="37">
        <f>I25+J25</f>
        <v/>
      </c>
      <c r="L25" s="13">
        <f>K25/$K$26</f>
        <v/>
      </c>
    </row>
    <row r="26" ht="22" customHeight="1">
      <c r="H26" s="38" t="inlineStr">
        <is>
          <t>Total Titles</t>
        </is>
      </c>
      <c r="I26" s="39">
        <f>SUM(I20:I25)</f>
        <v/>
      </c>
      <c r="J26" s="39">
        <f>SUM(J20:J25)</f>
        <v/>
      </c>
      <c r="K26" s="39">
        <f>SUM(K20:K25)</f>
        <v/>
      </c>
      <c r="L26" s="40">
        <f>SUM(L20:L25)</f>
        <v/>
      </c>
    </row>
    <row r="27" ht="14" customHeight="1"/>
    <row r="28" ht="22" customHeight="1">
      <c r="B28" s="21" t="inlineStr">
        <is>
          <t>TOP 10 RATED ANIME</t>
        </is>
      </c>
      <c r="H28" s="21" t="inlineStr">
        <is>
          <t>TOP 10 RATED MANGA</t>
        </is>
      </c>
    </row>
    <row r="29" ht="24" customHeight="1">
      <c r="B29" s="35" t="inlineStr">
        <is>
          <t>Rank</t>
        </is>
      </c>
      <c r="C29" s="35" t="inlineStr">
        <is>
          <t>Title</t>
        </is>
      </c>
      <c r="D29" s="35" t="inlineStr">
        <is>
          <t>Score</t>
        </is>
      </c>
      <c r="E29" s="35" t="inlineStr">
        <is>
          <t>Global</t>
        </is>
      </c>
      <c r="F29" s="35" t="inlineStr">
        <is>
          <t>Studio</t>
        </is>
      </c>
      <c r="H29" s="35" t="inlineStr">
        <is>
          <t>Rank</t>
        </is>
      </c>
      <c r="I29" s="35" t="inlineStr">
        <is>
          <t>Title</t>
        </is>
      </c>
      <c r="J29" s="35" t="inlineStr">
        <is>
          <t>Score</t>
        </is>
      </c>
      <c r="K29" s="35" t="inlineStr">
        <is>
          <t>Global</t>
        </is>
      </c>
      <c r="L29" s="35" t="inlineStr">
        <is>
          <t>Author</t>
        </is>
      </c>
    </row>
    <row r="30" ht="20" customHeight="1">
      <c r="B30" s="41" t="n">
        <v>1</v>
      </c>
      <c r="C30" s="10" t="inlineStr">
        <is>
          <t>Shingeki no Kyojin Season 3 Part 2</t>
        </is>
      </c>
      <c r="D30" s="42" t="n">
        <v>10</v>
      </c>
      <c r="E30" s="14" t="n">
        <v>9</v>
      </c>
      <c r="F30" s="10" t="inlineStr">
        <is>
          <t>WIT STUDIO</t>
        </is>
      </c>
      <c r="H30" s="41" t="n">
        <v>1</v>
      </c>
      <c r="I30" s="10" t="inlineStr">
        <is>
          <t>Berserk</t>
        </is>
      </c>
      <c r="J30" s="42" t="n">
        <v>10</v>
      </c>
      <c r="K30" s="14" t="n">
        <v>9.199999999999999</v>
      </c>
      <c r="L30" s="10" t="inlineStr">
        <is>
          <t>Kentarou Miura, Studio Gaga</t>
        </is>
      </c>
    </row>
    <row r="31" ht="20" customHeight="1">
      <c r="B31" s="43" t="n">
        <v>2</v>
      </c>
      <c r="C31" s="3" t="inlineStr">
        <is>
          <t>Kaguya-sama wa Kokurasetai: Ultra Romantic</t>
        </is>
      </c>
      <c r="D31" s="44" t="n">
        <v>10</v>
      </c>
      <c r="E31" s="7" t="n">
        <v>8.9</v>
      </c>
      <c r="F31" s="3" t="inlineStr">
        <is>
          <t>A-1 Pictures</t>
        </is>
      </c>
      <c r="H31" s="43" t="n">
        <v>2</v>
      </c>
      <c r="I31" s="3" t="inlineStr">
        <is>
          <t>Oyasumi Punpun</t>
        </is>
      </c>
      <c r="J31" s="44" t="n">
        <v>10</v>
      </c>
      <c r="K31" s="7" t="n">
        <v>8.800000000000001</v>
      </c>
      <c r="L31" s="3" t="inlineStr">
        <is>
          <t>Inio Asano, Annaliese Christman</t>
        </is>
      </c>
    </row>
    <row r="32" ht="20" customHeight="1">
      <c r="B32" s="41" t="n">
        <v>3</v>
      </c>
      <c r="C32" s="10" t="inlineStr">
        <is>
          <t>Steins;Gate</t>
        </is>
      </c>
      <c r="D32" s="42" t="n">
        <v>10</v>
      </c>
      <c r="E32" s="14" t="n">
        <v>8.9</v>
      </c>
      <c r="F32" s="10" t="inlineStr">
        <is>
          <t>WHITE FOX</t>
        </is>
      </c>
      <c r="H32" s="41" t="n">
        <v>3</v>
      </c>
      <c r="I32" s="10" t="inlineStr">
        <is>
          <t>Vinland Saga</t>
        </is>
      </c>
      <c r="J32" s="42" t="n">
        <v>9</v>
      </c>
      <c r="K32" s="14" t="n">
        <v>9</v>
      </c>
      <c r="L32" s="10" t="inlineStr">
        <is>
          <t>Makoto Yukimura</t>
        </is>
      </c>
    </row>
    <row r="33" ht="20" customHeight="1">
      <c r="B33" s="43" t="n">
        <v>4</v>
      </c>
      <c r="C33" s="3" t="inlineStr">
        <is>
          <t>Clannad: After Story</t>
        </is>
      </c>
      <c r="D33" s="44" t="n">
        <v>10</v>
      </c>
      <c r="E33" s="7" t="n">
        <v>8.800000000000001</v>
      </c>
      <c r="F33" s="3" t="inlineStr">
        <is>
          <t>Kyoto Animation</t>
        </is>
      </c>
      <c r="H33" s="43" t="n">
        <v>4</v>
      </c>
      <c r="I33" s="3" t="inlineStr">
        <is>
          <t>Kaguya-sama wa Kokurasetai: Tensai-tachi no Renai Zunousen</t>
        </is>
      </c>
      <c r="J33" s="44" t="n">
        <v>9</v>
      </c>
      <c r="K33" s="7" t="n">
        <v>8.699999999999999</v>
      </c>
      <c r="L33" s="3" t="inlineStr">
        <is>
          <t>Aka Akasaka</t>
        </is>
      </c>
    </row>
    <row r="34" ht="20" customHeight="1">
      <c r="B34" s="41" t="n">
        <v>5</v>
      </c>
      <c r="C34" s="10" t="inlineStr">
        <is>
          <t>Kimi no Na wa.</t>
        </is>
      </c>
      <c r="D34" s="42" t="n">
        <v>10</v>
      </c>
      <c r="E34" s="14" t="n">
        <v>8.6</v>
      </c>
      <c r="F34" s="10" t="inlineStr">
        <is>
          <t>CoMix Wave</t>
        </is>
      </c>
      <c r="H34" s="41" t="n">
        <v>5</v>
      </c>
      <c r="I34" s="10" t="inlineStr">
        <is>
          <t>Shingeki no Kyojin</t>
        </is>
      </c>
      <c r="J34" s="42" t="n">
        <v>9</v>
      </c>
      <c r="K34" s="14" t="n">
        <v>8.4</v>
      </c>
      <c r="L34" s="10" t="inlineStr">
        <is>
          <t>Hajime Isayama</t>
        </is>
      </c>
    </row>
    <row r="35" ht="20" customHeight="1">
      <c r="B35" s="43" t="n">
        <v>6</v>
      </c>
      <c r="C35" s="3" t="inlineStr">
        <is>
          <t>Takopii no Genzai</t>
        </is>
      </c>
      <c r="D35" s="44" t="n">
        <v>10</v>
      </c>
      <c r="E35" s="7" t="n">
        <v>8.6</v>
      </c>
      <c r="F35" s="3" t="inlineStr">
        <is>
          <t>ENISHIYA</t>
        </is>
      </c>
      <c r="H35" s="43" t="n">
        <v>6</v>
      </c>
      <c r="I35" s="3" t="inlineStr">
        <is>
          <t>Solo Leveling</t>
        </is>
      </c>
      <c r="J35" s="44" t="n">
        <v>9</v>
      </c>
      <c r="K35" s="7" t="n">
        <v>8.4</v>
      </c>
      <c r="L35" s="3" t="inlineStr">
        <is>
          <t>Seong-Rak Jang, So-Ryeong Gi, Chu-Gong, Hyeon-Gun</t>
        </is>
      </c>
    </row>
    <row r="36" ht="20" customHeight="1">
      <c r="B36" s="41" t="n">
        <v>7</v>
      </c>
      <c r="C36" s="10" t="inlineStr">
        <is>
          <t>Sousou no Frieren</t>
        </is>
      </c>
      <c r="D36" s="42" t="n">
        <v>9</v>
      </c>
      <c r="E36" s="14" t="n">
        <v>9.1</v>
      </c>
      <c r="F36" s="10" t="inlineStr">
        <is>
          <t>MADHOUSE</t>
        </is>
      </c>
      <c r="H36" s="41" t="n">
        <v>7</v>
      </c>
      <c r="I36" s="10" t="inlineStr">
        <is>
          <t>Onanie Master Kurosawa</t>
        </is>
      </c>
      <c r="J36" s="42" t="n">
        <v>9</v>
      </c>
      <c r="K36" s="14" t="n">
        <v>8.199999999999999</v>
      </c>
      <c r="L36" s="10" t="inlineStr">
        <is>
          <t>Takuma Yokota, Katsura Ise</t>
        </is>
      </c>
    </row>
    <row r="37" ht="20" customHeight="1">
      <c r="B37" s="43" t="n">
        <v>8</v>
      </c>
      <c r="C37" s="3" t="inlineStr">
        <is>
          <t>Gintama°</t>
        </is>
      </c>
      <c r="D37" s="44" t="n">
        <v>9</v>
      </c>
      <c r="E37" s="7" t="n">
        <v>9</v>
      </c>
      <c r="F37" s="3" t="inlineStr">
        <is>
          <t>Bandai Namco Pictures</t>
        </is>
      </c>
      <c r="H37" s="43" t="n">
        <v>8</v>
      </c>
      <c r="I37" s="3" t="inlineStr">
        <is>
          <t>Aku no Hana</t>
        </is>
      </c>
      <c r="J37" s="44" t="n">
        <v>9</v>
      </c>
      <c r="K37" s="7" t="n">
        <v>8.1</v>
      </c>
      <c r="L37" s="3" t="inlineStr">
        <is>
          <t>Shuuzou Oshimi</t>
        </is>
      </c>
    </row>
    <row r="38" ht="20" customHeight="1">
      <c r="B38" s="41" t="n">
        <v>9</v>
      </c>
      <c r="C38" s="10" t="inlineStr">
        <is>
          <t>Gintama'</t>
        </is>
      </c>
      <c r="D38" s="42" t="n">
        <v>9</v>
      </c>
      <c r="E38" s="14" t="n">
        <v>8.9</v>
      </c>
      <c r="F38" s="10" t="inlineStr">
        <is>
          <t>Sunrise</t>
        </is>
      </c>
      <c r="H38" s="41" t="n">
        <v>9</v>
      </c>
      <c r="I38" s="10" t="inlineStr">
        <is>
          <t>Solanin</t>
        </is>
      </c>
      <c r="J38" s="42" t="n">
        <v>9</v>
      </c>
      <c r="K38" s="14" t="n">
        <v>8.1</v>
      </c>
      <c r="L38" s="10" t="inlineStr">
        <is>
          <t>Inio Asano, Hernán Dillie</t>
        </is>
      </c>
    </row>
    <row r="39" ht="20" customHeight="1">
      <c r="B39" s="43" t="n">
        <v>10</v>
      </c>
      <c r="C39" s="3" t="inlineStr">
        <is>
          <t>Gintama': Enchousen</t>
        </is>
      </c>
      <c r="D39" s="44" t="n">
        <v>9</v>
      </c>
      <c r="E39" s="7" t="n">
        <v>8.9</v>
      </c>
      <c r="F39" s="3" t="inlineStr">
        <is>
          <t>Sunrise</t>
        </is>
      </c>
      <c r="H39" s="43" t="n">
        <v>10</v>
      </c>
      <c r="I39" s="3" t="inlineStr">
        <is>
          <t>Komi-san wa, Comyushou desu.</t>
        </is>
      </c>
      <c r="J39" s="44" t="n">
        <v>9</v>
      </c>
      <c r="K39" s="7" t="n">
        <v>7.7</v>
      </c>
      <c r="L39" s="3" t="inlineStr">
        <is>
          <t>Tomohito Oda, Erwan Lossois, Eve Grandt</t>
        </is>
      </c>
    </row>
    <row r="40" ht="14" customHeight="1"/>
    <row r="41" ht="22" customHeight="1">
      <c r="B41" s="21" t="inlineStr">
        <is>
          <t>GENRE DISTRIBUTION BREAKDOWN (TOP 10 GENRES)</t>
        </is>
      </c>
    </row>
    <row r="42" ht="24" customHeight="1">
      <c r="B42" s="35" t="inlineStr">
        <is>
          <t>Genre Name</t>
        </is>
      </c>
      <c r="C42" s="35" t="inlineStr">
        <is>
          <t>Anime Count</t>
        </is>
      </c>
      <c r="D42" s="35" t="inlineStr">
        <is>
          <t>Manga Count</t>
        </is>
      </c>
      <c r="E42" s="35" t="inlineStr">
        <is>
          <t>Total Frequency</t>
        </is>
      </c>
      <c r="F42" s="35" t="inlineStr">
        <is>
          <t>% of Catalog</t>
        </is>
      </c>
    </row>
    <row r="43" ht="20" customHeight="1">
      <c r="B43" s="45" t="inlineStr">
        <is>
          <t>Drama</t>
        </is>
      </c>
      <c r="C43" s="12">
        <f>COUNTIF('Anime List'!I$2:I$220, "*Drama*")</f>
        <v/>
      </c>
      <c r="D43" s="12">
        <f>COUNTIF('Manga List'!K$2:K$48, "*Drama*")</f>
        <v/>
      </c>
      <c r="E43" s="37">
        <f>C43+D43</f>
        <v/>
      </c>
      <c r="F43" s="13">
        <f>E43/(COUNTA('Anime List'!B$2:B$220) + COUNTA('Manga List'!B$2:B$48))</f>
        <v/>
      </c>
    </row>
    <row r="44" ht="20" customHeight="1">
      <c r="B44" s="46" t="inlineStr">
        <is>
          <t>Comedy</t>
        </is>
      </c>
      <c r="C44" s="5">
        <f>COUNTIF('Anime List'!I$2:I$220, "*Comedy*")</f>
        <v/>
      </c>
      <c r="D44" s="5">
        <f>COUNTIF('Manga List'!K$2:K$48, "*Comedy*")</f>
        <v/>
      </c>
      <c r="E44" s="36">
        <f>C44+D44</f>
        <v/>
      </c>
      <c r="F44" s="6">
        <f>E44/(COUNTA('Anime List'!B$2:B$220) + COUNTA('Manga List'!B$2:B$48))</f>
        <v/>
      </c>
    </row>
    <row r="45" ht="20" customHeight="1">
      <c r="B45" s="45" t="inlineStr">
        <is>
          <t>Slice of Life</t>
        </is>
      </c>
      <c r="C45" s="12">
        <f>COUNTIF('Anime List'!I$2:I$220, "*Slice of Life*")</f>
        <v/>
      </c>
      <c r="D45" s="12">
        <f>COUNTIF('Manga List'!K$2:K$48, "*Slice of Life*")</f>
        <v/>
      </c>
      <c r="E45" s="37">
        <f>C45+D45</f>
        <v/>
      </c>
      <c r="F45" s="13">
        <f>E45/(COUNTA('Anime List'!B$2:B$220) + COUNTA('Manga List'!B$2:B$48))</f>
        <v/>
      </c>
    </row>
    <row r="46" ht="20" customHeight="1">
      <c r="B46" s="46" t="inlineStr">
        <is>
          <t>Romance</t>
        </is>
      </c>
      <c r="C46" s="5">
        <f>COUNTIF('Anime List'!I$2:I$220, "*Romance*")</f>
        <v/>
      </c>
      <c r="D46" s="5">
        <f>COUNTIF('Manga List'!K$2:K$48, "*Romance*")</f>
        <v/>
      </c>
      <c r="E46" s="36">
        <f>C46+D46</f>
        <v/>
      </c>
      <c r="F46" s="6">
        <f>E46/(COUNTA('Anime List'!B$2:B$220) + COUNTA('Manga List'!B$2:B$48))</f>
        <v/>
      </c>
    </row>
    <row r="47" ht="20" customHeight="1">
      <c r="B47" s="45" t="inlineStr">
        <is>
          <t>Supernatural</t>
        </is>
      </c>
      <c r="C47" s="12">
        <f>COUNTIF('Anime List'!I$2:I$220, "*Supernatural*")</f>
        <v/>
      </c>
      <c r="D47" s="12">
        <f>COUNTIF('Manga List'!K$2:K$48, "*Supernatural*")</f>
        <v/>
      </c>
      <c r="E47" s="37">
        <f>C47+D47</f>
        <v/>
      </c>
      <c r="F47" s="13">
        <f>E47/(COUNTA('Anime List'!B$2:B$220) + COUNTA('Manga List'!B$2:B$48))</f>
        <v/>
      </c>
    </row>
    <row r="48" ht="20" customHeight="1">
      <c r="B48" s="46" t="inlineStr">
        <is>
          <t>Action</t>
        </is>
      </c>
      <c r="C48" s="5">
        <f>COUNTIF('Anime List'!I$2:I$220, "*Action*")</f>
        <v/>
      </c>
      <c r="D48" s="5">
        <f>COUNTIF('Manga List'!K$2:K$48, "*Action*")</f>
        <v/>
      </c>
      <c r="E48" s="36">
        <f>C48+D48</f>
        <v/>
      </c>
      <c r="F48" s="6">
        <f>E48/(COUNTA('Anime List'!B$2:B$220) + COUNTA('Manga List'!B$2:B$48))</f>
        <v/>
      </c>
    </row>
    <row r="49" ht="20" customHeight="1">
      <c r="B49" s="45" t="inlineStr">
        <is>
          <t>Fantasy</t>
        </is>
      </c>
      <c r="C49" s="12">
        <f>COUNTIF('Anime List'!I$2:I$220, "*Fantasy*")</f>
        <v/>
      </c>
      <c r="D49" s="12">
        <f>COUNTIF('Manga List'!K$2:K$48, "*Fantasy*")</f>
        <v/>
      </c>
      <c r="E49" s="37">
        <f>C49+D49</f>
        <v/>
      </c>
      <c r="F49" s="13">
        <f>E49/(COUNTA('Anime List'!B$2:B$220) + COUNTA('Manga List'!B$2:B$48))</f>
        <v/>
      </c>
    </row>
    <row r="50" ht="20" customHeight="1">
      <c r="B50" s="46" t="inlineStr">
        <is>
          <t>Psychological</t>
        </is>
      </c>
      <c r="C50" s="5">
        <f>COUNTIF('Anime List'!I$2:I$220, "*Psychological*")</f>
        <v/>
      </c>
      <c r="D50" s="5">
        <f>COUNTIF('Manga List'!K$2:K$48, "*Psychological*")</f>
        <v/>
      </c>
      <c r="E50" s="36">
        <f>C50+D50</f>
        <v/>
      </c>
      <c r="F50" s="6">
        <f>E50/(COUNTA('Anime List'!B$2:B$220) + COUNTA('Manga List'!B$2:B$48))</f>
        <v/>
      </c>
    </row>
    <row r="51" ht="20" customHeight="1">
      <c r="B51" s="45" t="inlineStr">
        <is>
          <t>Adventure</t>
        </is>
      </c>
      <c r="C51" s="12">
        <f>COUNTIF('Anime List'!I$2:I$220, "*Adventure*")</f>
        <v/>
      </c>
      <c r="D51" s="12">
        <f>COUNTIF('Manga List'!K$2:K$48, "*Adventure*")</f>
        <v/>
      </c>
      <c r="E51" s="37">
        <f>C51+D51</f>
        <v/>
      </c>
      <c r="F51" s="13">
        <f>E51/(COUNTA('Anime List'!B$2:B$220) + COUNTA('Manga List'!B$2:B$48))</f>
        <v/>
      </c>
    </row>
    <row r="52" ht="20" customHeight="1">
      <c r="B52" s="46" t="inlineStr">
        <is>
          <t>Mystery</t>
        </is>
      </c>
      <c r="C52" s="5">
        <f>COUNTIF('Anime List'!I$2:I$220, "*Mystery*")</f>
        <v/>
      </c>
      <c r="D52" s="5">
        <f>COUNTIF('Manga List'!K$2:K$48, "*Mystery*")</f>
        <v/>
      </c>
      <c r="E52" s="36">
        <f>C52+D52</f>
        <v/>
      </c>
      <c r="F52" s="6">
        <f>E52/(COUNTA('Anime List'!B$2:B$220) + COUNTA('Manga List'!B$2:B$48))</f>
        <v/>
      </c>
    </row>
  </sheetData>
  <mergeCells count="20">
    <mergeCell ref="E10:G10"/>
    <mergeCell ref="H15:J16"/>
    <mergeCell ref="B14:D14"/>
    <mergeCell ref="B3:L3"/>
    <mergeCell ref="B7:D8"/>
    <mergeCell ref="E6:G6"/>
    <mergeCell ref="B10:D10"/>
    <mergeCell ref="B2:L2"/>
    <mergeCell ref="B6:D6"/>
    <mergeCell ref="B11:D12"/>
    <mergeCell ref="H11:J12"/>
    <mergeCell ref="H14:J14"/>
    <mergeCell ref="E15:G16"/>
    <mergeCell ref="H7:J8"/>
    <mergeCell ref="H10:J10"/>
    <mergeCell ref="E14:G14"/>
    <mergeCell ref="B15:D16"/>
    <mergeCell ref="E11:G12"/>
    <mergeCell ref="E7:G8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2026-09-05T20:25:29Z</dcterms:created>
  <dcterms:modified xmlns:dcterms="http://purl.org/dc/terms/" xmlns:xsi="http://www.w3.org/2001/XMLSchema-instance" xsi:type="dcterms:W3CDTF">2026-09-05T20:25:31Z</dcterms:modified>
</cp:coreProperties>
</file>